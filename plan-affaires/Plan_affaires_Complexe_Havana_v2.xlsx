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Investissement" sheetId="2" state="visible" r:id="rId2"/>
    <sheet xmlns:r="http://schemas.openxmlformats.org/officeDocument/2006/relationships" name="Dette" sheetId="3" state="visible" r:id="rId3"/>
    <sheet xmlns:r="http://schemas.openxmlformats.org/officeDocument/2006/relationships" name="Résultats" sheetId="4" state="visible" r:id="rId4"/>
    <sheet xmlns:r="http://schemas.openxmlformats.org/officeDocument/2006/relationships" name="Flux" sheetId="5" state="visible" r:id="rId5"/>
    <sheet xmlns:r="http://schemas.openxmlformats.org/officeDocument/2006/relationships" name="DPA" sheetId="6" state="visible" r:id="rId6"/>
    <sheet xmlns:r="http://schemas.openxmlformats.org/officeDocument/2006/relationships" name="Bilan" sheetId="7" state="visible" r:id="rId7"/>
    <sheet xmlns:r="http://schemas.openxmlformats.org/officeDocument/2006/relationships" name="Ratios" sheetId="8" state="visible" r:id="rId8"/>
    <sheet xmlns:r="http://schemas.openxmlformats.org/officeDocument/2006/relationships" name="Sensibilité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 %"/>
    <numFmt numFmtId="165" formatCode="#,##0 $;[Red](#,##0 $)"/>
    <numFmt numFmtId="166" formatCode="0.00&quot; x&quot;"/>
    <numFmt numFmtId="167" formatCode="0.0&quot; x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C4A5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2" customWidth="1" min="3" max="3"/>
    <col width="70" customWidth="1" min="4" max="4"/>
  </cols>
  <sheetData>
    <row r="1">
      <c r="A1" s="1" t="inlineStr">
        <is>
          <t>Paramètre</t>
        </is>
      </c>
      <c r="B1" s="1" t="inlineStr">
        <is>
          <t>Valeur</t>
        </is>
      </c>
      <c r="C1" s="1" t="inlineStr">
        <is>
          <t>Unité</t>
        </is>
      </c>
      <c r="D1" s="1" t="inlineStr">
        <is>
          <t>Source / statut</t>
        </is>
      </c>
    </row>
    <row r="2">
      <c r="A2" s="2" t="inlineStr">
        <is>
          <t>GÉNÉRAL</t>
        </is>
      </c>
    </row>
    <row r="3">
      <c r="A3" t="inlineStr">
        <is>
          <t>Indexation annuelle des tarifs</t>
        </is>
      </c>
      <c r="B3" s="3" t="n">
        <v>0.03</v>
      </c>
      <c r="C3" t="inlineStr">
        <is>
          <t>%</t>
        </is>
      </c>
      <c r="D3" t="inlineStr">
        <is>
          <t>Pratique de l'industrie</t>
        </is>
      </c>
    </row>
    <row r="4">
      <c r="A4" t="inlineStr">
        <is>
          <t>Ventes terrains 2026 (Pixum)</t>
        </is>
      </c>
      <c r="B4" s="4" t="n">
        <v>791894.29</v>
      </c>
      <c r="C4" t="inlineStr">
        <is>
          <t>$</t>
        </is>
      </c>
      <c r="D4" t="inlineStr">
        <is>
          <t>Rapport Pixum 2025-09-15 → 2026-09-15</t>
        </is>
      </c>
    </row>
    <row r="5">
      <c r="A5" t="inlineStr">
        <is>
          <t>Ventes saisonniers 2026 (Pixum)</t>
        </is>
      </c>
      <c r="B5" s="4" t="n">
        <v>43208.71</v>
      </c>
      <c r="C5" t="inlineStr">
        <is>
          <t>$</t>
        </is>
      </c>
      <c r="D5" t="inlineStr">
        <is>
          <t>Pixum</t>
        </is>
      </c>
    </row>
    <row r="6">
      <c r="A6" t="inlineStr">
        <is>
          <t>Ventes chalets et chambres 2026 (Pixum)</t>
        </is>
      </c>
      <c r="B6" s="4" t="n">
        <v>497722.97</v>
      </c>
      <c r="C6" t="inlineStr">
        <is>
          <t>$</t>
        </is>
      </c>
      <c r="D6" t="inlineStr">
        <is>
          <t>Pixum</t>
        </is>
      </c>
    </row>
    <row r="7">
      <c r="A7" t="inlineStr">
        <is>
          <t>Ventes cabanas 2026 (Pixum)</t>
        </is>
      </c>
      <c r="B7" s="4" t="n">
        <v>199015.63</v>
      </c>
      <c r="C7" t="inlineStr">
        <is>
          <t>$</t>
        </is>
      </c>
      <c r="D7" t="inlineStr">
        <is>
          <t>Pixum</t>
        </is>
      </c>
    </row>
    <row r="8">
      <c r="A8" t="inlineStr">
        <is>
          <t>Restauration 2026</t>
        </is>
      </c>
      <c r="B8" s="4" t="n">
        <v>100000</v>
      </c>
      <c r="C8" t="inlineStr">
        <is>
          <t>$</t>
        </is>
      </c>
      <c r="D8" t="inlineStr">
        <is>
          <t>Budget interne, à valider</t>
        </is>
      </c>
    </row>
    <row r="9">
      <c r="A9" t="inlineStr">
        <is>
          <t>Activités et concessions 2026</t>
        </is>
      </c>
      <c r="B9" s="4" t="n">
        <v>96700</v>
      </c>
      <c r="C9" t="inlineStr">
        <is>
          <t>$</t>
        </is>
      </c>
      <c r="D9" t="inlineStr">
        <is>
          <t>Budget interne, à valider</t>
        </is>
      </c>
    </row>
    <row r="10">
      <c r="A10" t="inlineStr">
        <is>
          <t>Part Havana des ventes Coolbox 2026 (après transport)</t>
        </is>
      </c>
      <c r="B10" s="4" t="n">
        <v>76667.14999999999</v>
      </c>
      <c r="C10" t="inlineStr">
        <is>
          <t>$</t>
        </is>
      </c>
      <c r="D10" t="inlineStr">
        <is>
          <t>AVIS-HAVANA-2026-001</t>
        </is>
      </c>
    </row>
    <row r="11">
      <c r="A11" t="inlineStr">
        <is>
          <t>Part Havana des ventes Coolbox, base récurrente (50 % du CA 2026)</t>
        </is>
      </c>
      <c r="B11" s="4" t="n">
        <v>90167.14999999999</v>
      </c>
      <c r="C11" t="inlineStr">
        <is>
          <t>$</t>
        </is>
      </c>
      <c r="D11" t="inlineStr">
        <is>
          <t>CALCUL-HAVANA 2026</t>
        </is>
      </c>
    </row>
    <row r="13">
      <c r="A13" s="2" t="inlineStr">
        <is>
          <t>PAR ANNÉE (colonnes B = 2026, C..G = An 1 à An 5)</t>
        </is>
      </c>
      <c r="B13" s="2" t="inlineStr">
        <is>
          <t>2026</t>
        </is>
      </c>
      <c r="C13" s="2" t="inlineStr">
        <is>
          <t>An 1</t>
        </is>
      </c>
      <c r="D13" s="2" t="inlineStr">
        <is>
          <t>An 2</t>
        </is>
      </c>
      <c r="E13" s="2" t="inlineStr">
        <is>
          <t>An 3</t>
        </is>
      </c>
      <c r="F13" s="2" t="inlineStr">
        <is>
          <t>An 4</t>
        </is>
      </c>
      <c r="G13" s="2" t="inlineStr">
        <is>
          <t>An 5</t>
        </is>
      </c>
    </row>
    <row r="14">
      <c r="A14" t="inlineStr">
        <is>
          <t>Terrains : facteur d'occupation</t>
        </is>
      </c>
      <c r="B14" s="5" t="n">
        <v>1</v>
      </c>
      <c r="C14" s="5" t="n">
        <v>1</v>
      </c>
      <c r="D14" s="5" t="n">
        <v>1.02</v>
      </c>
      <c r="E14" s="5" t="n">
        <v>1.03</v>
      </c>
      <c r="F14" s="5" t="n">
        <v>1.04</v>
      </c>
      <c r="G14" s="5" t="n">
        <v>1.04</v>
      </c>
      <c r="H14" t="inlineStr">
        <is>
          <t>x</t>
        </is>
      </c>
      <c r="I14" t="inlineStr">
        <is>
          <t>Aucune capacité nouvelle</t>
        </is>
      </c>
    </row>
    <row r="15">
      <c r="A15" t="inlineStr">
        <is>
          <t>Contrats saisonniers</t>
        </is>
      </c>
      <c r="B15" s="6" t="n">
        <v>12</v>
      </c>
      <c r="C15" s="6" t="n">
        <v>30</v>
      </c>
      <c r="D15" s="6" t="n">
        <v>45</v>
      </c>
      <c r="E15" s="6" t="n">
        <v>58</v>
      </c>
      <c r="F15" s="6" t="n">
        <v>66</v>
      </c>
      <c r="G15" s="6" t="n">
        <v>70</v>
      </c>
      <c r="H15" t="inlineStr">
        <is>
          <t>contrats</t>
        </is>
      </c>
      <c r="I15" t="inlineStr">
        <is>
          <t>12 réels en 2026 ; conversion de terrains existants</t>
        </is>
      </c>
    </row>
    <row r="16">
      <c r="A16" t="inlineStr">
        <is>
          <t>Chalets : occupation été (184 nuits)</t>
        </is>
      </c>
      <c r="B16" s="3" t="n">
        <v>0</v>
      </c>
      <c r="C16" s="3" t="n">
        <v>0.58</v>
      </c>
      <c r="D16" s="3" t="n">
        <v>0.61</v>
      </c>
      <c r="E16" s="3" t="n">
        <v>0.63</v>
      </c>
      <c r="F16" s="3" t="n">
        <v>0.65</v>
      </c>
      <c r="G16" s="3" t="n">
        <v>0.66</v>
      </c>
      <c r="H16" t="inlineStr">
        <is>
          <t>%</t>
        </is>
      </c>
      <c r="I16" t="inlineStr">
        <is>
          <t>Réel 2026 ≈ 55-60 %</t>
        </is>
      </c>
    </row>
    <row r="17">
      <c r="A17" t="inlineStr">
        <is>
          <t>Chalets : occupation hiver (181 nuits)</t>
        </is>
      </c>
      <c r="B17" s="3" t="n">
        <v>0</v>
      </c>
      <c r="C17" s="3" t="n">
        <v>0.12</v>
      </c>
      <c r="D17" s="3" t="n">
        <v>0.18</v>
      </c>
      <c r="E17" s="3" t="n">
        <v>0.22</v>
      </c>
      <c r="F17" s="3" t="n">
        <v>0.24</v>
      </c>
      <c r="G17" s="3" t="n">
        <v>0.25</v>
      </c>
      <c r="H17" t="inlineStr">
        <is>
          <t>%</t>
        </is>
      </c>
      <c r="I17" t="inlineStr">
        <is>
          <t>Hivernisation automne 2027</t>
        </is>
      </c>
    </row>
    <row r="18">
      <c r="A18" t="inlineStr">
        <is>
          <t>Chalets : fraction de l'hiver exploitée</t>
        </is>
      </c>
      <c r="B18" s="5" t="n">
        <v>0</v>
      </c>
      <c r="C18" s="5" t="n">
        <v>0.3</v>
      </c>
      <c r="D18" s="5" t="n">
        <v>1</v>
      </c>
      <c r="E18" s="5" t="n">
        <v>1</v>
      </c>
      <c r="F18" s="5" t="n">
        <v>1</v>
      </c>
      <c r="G18" s="5" t="n">
        <v>1</v>
      </c>
      <c r="H18" t="inlineStr">
        <is>
          <t>x</t>
        </is>
      </c>
      <c r="I18" t="inlineStr">
        <is>
          <t>An 1 : nov.-déc.</t>
        </is>
      </c>
    </row>
    <row r="19">
      <c r="A19" t="inlineStr">
        <is>
          <t>Villas : occupation été</t>
        </is>
      </c>
      <c r="B19" s="3" t="n">
        <v>0</v>
      </c>
      <c r="C19" s="3" t="n">
        <v>0.5</v>
      </c>
      <c r="D19" s="3" t="n">
        <v>0.55</v>
      </c>
      <c r="E19" s="3" t="n">
        <v>0.6</v>
      </c>
      <c r="F19" s="3" t="n">
        <v>0.63</v>
      </c>
      <c r="G19" s="3" t="n">
        <v>0.65</v>
      </c>
      <c r="H19" t="inlineStr">
        <is>
          <t>%</t>
        </is>
      </c>
      <c r="I19" t="inlineStr">
        <is>
          <t>Direction</t>
        </is>
      </c>
    </row>
    <row r="20">
      <c r="A20" t="inlineStr">
        <is>
          <t>Villas : occupation hiver</t>
        </is>
      </c>
      <c r="B20" s="3" t="n">
        <v>0</v>
      </c>
      <c r="C20" s="3" t="n">
        <v>0.1</v>
      </c>
      <c r="D20" s="3" t="n">
        <v>0.16</v>
      </c>
      <c r="E20" s="3" t="n">
        <v>0.2</v>
      </c>
      <c r="F20" s="3" t="n">
        <v>0.21</v>
      </c>
      <c r="G20" s="3" t="n">
        <v>0.22</v>
      </c>
      <c r="H20" t="inlineStr">
        <is>
          <t>%</t>
        </is>
      </c>
      <c r="I20" t="inlineStr">
        <is>
          <t>hyp.</t>
        </is>
      </c>
    </row>
    <row r="21">
      <c r="A21" t="inlineStr">
        <is>
          <t>Villas : fraction de l'été exploitée</t>
        </is>
      </c>
      <c r="B21" s="5" t="n">
        <v>0</v>
      </c>
      <c r="C21" s="5" t="n">
        <v>0.5</v>
      </c>
      <c r="D21" s="5" t="n">
        <v>1</v>
      </c>
      <c r="E21" s="5" t="n">
        <v>1</v>
      </c>
      <c r="F21" s="5" t="n">
        <v>1</v>
      </c>
      <c r="G21" s="5" t="n">
        <v>1</v>
      </c>
      <c r="H21" t="inlineStr">
        <is>
          <t>x</t>
        </is>
      </c>
      <c r="I21" t="inlineStr">
        <is>
          <t>Livraison juillet 2027</t>
        </is>
      </c>
    </row>
    <row r="22">
      <c r="A22" t="inlineStr">
        <is>
          <t>Hôtel : chambres</t>
        </is>
      </c>
      <c r="B22" s="6" t="n">
        <v>6</v>
      </c>
      <c r="C22" s="6" t="n">
        <v>11.5</v>
      </c>
      <c r="D22" s="6" t="n">
        <v>17</v>
      </c>
      <c r="E22" s="6" t="n">
        <v>17</v>
      </c>
      <c r="F22" s="6" t="n">
        <v>17</v>
      </c>
      <c r="G22" s="6" t="n">
        <v>17</v>
      </c>
      <c r="H22" t="inlineStr">
        <is>
          <t>ch.</t>
        </is>
      </c>
      <c r="I22" t="inlineStr">
        <is>
          <t>6 jan.-juin 2027, 17 ensuite</t>
        </is>
      </c>
    </row>
    <row r="23">
      <c r="A23" t="inlineStr">
        <is>
          <t>Hôtel : occupation annuelle</t>
        </is>
      </c>
      <c r="B23" s="3" t="n">
        <v>0</v>
      </c>
      <c r="C23" s="3" t="n">
        <v>0.35</v>
      </c>
      <c r="D23" s="3" t="n">
        <v>0.42</v>
      </c>
      <c r="E23" s="3" t="n">
        <v>0.48</v>
      </c>
      <c r="F23" s="3" t="n">
        <v>0.52</v>
      </c>
      <c r="G23" s="3" t="n">
        <v>0.55</v>
      </c>
      <c r="H23" t="inlineStr">
        <is>
          <t>%</t>
        </is>
      </c>
      <c r="I23" t="inlineStr">
        <is>
          <t>Sous la moyenne régionale</t>
        </is>
      </c>
    </row>
    <row r="24">
      <c r="A24" t="inlineStr">
        <is>
          <t>Cabanas : facteur</t>
        </is>
      </c>
      <c r="B24" s="5" t="n">
        <v>1</v>
      </c>
      <c r="C24" s="5" t="n">
        <v>1</v>
      </c>
      <c r="D24" s="5" t="n">
        <v>1.02</v>
      </c>
      <c r="E24" s="5" t="n">
        <v>1.04</v>
      </c>
      <c r="F24" s="5" t="n">
        <v>1.05</v>
      </c>
      <c r="G24" s="5" t="n">
        <v>1.05</v>
      </c>
      <c r="H24" t="inlineStr">
        <is>
          <t>x</t>
        </is>
      </c>
      <c r="I24" t="inlineStr"/>
    </row>
    <row r="25">
      <c r="A25" t="inlineStr">
        <is>
          <t>Coolbox grappe A : occupation été</t>
        </is>
      </c>
      <c r="B25" s="3" t="n">
        <v>0</v>
      </c>
      <c r="C25" s="3" t="n">
        <v>0.55</v>
      </c>
      <c r="D25" s="3" t="n">
        <v>0.6</v>
      </c>
      <c r="E25" s="3" t="n">
        <v>0.63</v>
      </c>
      <c r="F25" s="3" t="n">
        <v>0.65</v>
      </c>
      <c r="G25" s="3" t="n">
        <v>0.65</v>
      </c>
      <c r="H25" t="inlineStr">
        <is>
          <t>%</t>
        </is>
      </c>
      <c r="I25" t="inlineStr">
        <is>
          <t>9 unités existantes : 20 037 $/unité en 2026</t>
        </is>
      </c>
    </row>
    <row r="26">
      <c r="A26" t="inlineStr">
        <is>
          <t>Coolbox grappe A : occupation hiver</t>
        </is>
      </c>
      <c r="B26" s="3" t="n">
        <v>0</v>
      </c>
      <c r="C26" s="3" t="n">
        <v>0.2</v>
      </c>
      <c r="D26" s="3" t="n">
        <v>0.27</v>
      </c>
      <c r="E26" s="3" t="n">
        <v>0.32</v>
      </c>
      <c r="F26" s="3" t="n">
        <v>0.34</v>
      </c>
      <c r="G26" s="3" t="n">
        <v>0.35</v>
      </c>
      <c r="H26" t="inlineStr">
        <is>
          <t>%</t>
        </is>
      </c>
      <c r="I26" t="inlineStr">
        <is>
          <t>Données d'hiver du réseau (annexe J)</t>
        </is>
      </c>
    </row>
    <row r="27">
      <c r="A27" t="inlineStr">
        <is>
          <t>Coolbox : fraction de l'été An 1</t>
        </is>
      </c>
      <c r="B27" s="5" t="n">
        <v>0</v>
      </c>
      <c r="C27" s="5" t="n">
        <v>0.8</v>
      </c>
      <c r="D27" s="5" t="n">
        <v>1</v>
      </c>
      <c r="E27" s="5" t="n">
        <v>1</v>
      </c>
      <c r="F27" s="5" t="n">
        <v>1</v>
      </c>
      <c r="G27" s="5" t="n">
        <v>1</v>
      </c>
      <c r="H27" t="inlineStr">
        <is>
          <t>x</t>
        </is>
      </c>
      <c r="I27" t="inlineStr">
        <is>
          <t>Livraison mai 2027</t>
        </is>
      </c>
    </row>
    <row r="28">
      <c r="A28" t="inlineStr">
        <is>
          <t>Restauration : % des revenus d'hébergement (sans alcool)</t>
        </is>
      </c>
      <c r="B28" s="3" t="n">
        <v>0</v>
      </c>
      <c r="C28" s="3" t="n">
        <v>0.08</v>
      </c>
      <c r="D28" s="3" t="n">
        <v>0.14</v>
      </c>
      <c r="E28" s="3" t="n">
        <v>0.18</v>
      </c>
      <c r="F28" s="3" t="n">
        <v>0.19</v>
      </c>
      <c r="G28" s="3" t="n">
        <v>0.2</v>
      </c>
      <c r="H28" t="inlineStr">
        <is>
          <t>%</t>
        </is>
      </c>
      <c r="I28" t="inlineStr">
        <is>
          <t>Réel 2026 : 6,5 %</t>
        </is>
      </c>
    </row>
    <row r="29">
      <c r="A29" t="inlineStr">
        <is>
          <t>Spectacles : billetterie brute</t>
        </is>
      </c>
      <c r="B29" s="4" t="n">
        <v>0</v>
      </c>
      <c r="C29" s="4" t="n">
        <v>0</v>
      </c>
      <c r="D29" s="4" t="n">
        <v>60000</v>
      </c>
      <c r="E29" s="4" t="n">
        <v>120000</v>
      </c>
      <c r="F29" s="4" t="n">
        <v>150000</v>
      </c>
      <c r="G29" s="4" t="n">
        <v>160000</v>
      </c>
      <c r="H29" t="inlineStr">
        <is>
          <t>$</t>
        </is>
      </c>
      <c r="I29" t="inlineStr">
        <is>
          <t>Scène et chapiteau existants (hyp.)</t>
        </is>
      </c>
    </row>
    <row r="30">
      <c r="A30" t="inlineStr">
        <is>
          <t>Activités et concessions</t>
        </is>
      </c>
      <c r="B30" s="4" t="n">
        <v>96700</v>
      </c>
      <c r="C30" s="4" t="n">
        <v>105000</v>
      </c>
      <c r="D30" s="4" t="n">
        <v>125000</v>
      </c>
      <c r="E30" s="4" t="n">
        <v>140000</v>
      </c>
      <c r="F30" s="4" t="n">
        <v>148000</v>
      </c>
      <c r="G30" s="4" t="n">
        <v>155000</v>
      </c>
      <c r="H30" t="inlineStr">
        <is>
          <t>$</t>
        </is>
      </c>
      <c r="I30" t="inlineStr">
        <is>
          <t>Budget interne</t>
        </is>
      </c>
    </row>
    <row r="31">
      <c r="A31" t="inlineStr">
        <is>
          <t>Salaires : % des revenus</t>
        </is>
      </c>
      <c r="B31" s="3" t="n">
        <v>0.39</v>
      </c>
      <c r="C31" s="3" t="n">
        <v>0.36</v>
      </c>
      <c r="D31" s="3" t="n">
        <v>0.34</v>
      </c>
      <c r="E31" s="3" t="n">
        <v>0.32</v>
      </c>
      <c r="F31" s="3" t="n">
        <v>0.31</v>
      </c>
      <c r="G31" s="3" t="n">
        <v>0.3</v>
      </c>
      <c r="H31" t="inlineStr">
        <is>
          <t>%</t>
        </is>
      </c>
      <c r="I31" t="inlineStr">
        <is>
          <t>Tableau d'effectifs ; Grenier 2021 : 30 %</t>
        </is>
      </c>
    </row>
    <row r="32">
      <c r="A32" t="inlineStr">
        <is>
          <t>Énergie</t>
        </is>
      </c>
      <c r="B32" s="4" t="n">
        <v>242500</v>
      </c>
      <c r="C32" s="4" t="n">
        <v>275000</v>
      </c>
      <c r="D32" s="4" t="n">
        <v>400000</v>
      </c>
      <c r="E32" s="4" t="n">
        <v>420000</v>
      </c>
      <c r="F32" s="4" t="n">
        <v>435000</v>
      </c>
      <c r="G32" s="4" t="n">
        <v>450000</v>
      </c>
      <c r="H32" t="inlineStr">
        <is>
          <t>$</t>
        </is>
      </c>
      <c r="I32" t="inlineStr">
        <is>
          <t>Budget de la direction</t>
        </is>
      </c>
    </row>
    <row r="33">
      <c r="A33" t="inlineStr">
        <is>
          <t>Assurances</t>
        </is>
      </c>
      <c r="B33" s="4" t="n">
        <v>60000</v>
      </c>
      <c r="C33" s="4" t="n">
        <v>95000</v>
      </c>
      <c r="D33" s="4" t="n">
        <v>130000</v>
      </c>
      <c r="E33" s="4" t="n">
        <v>134000</v>
      </c>
      <c r="F33" s="4" t="n">
        <v>138000</v>
      </c>
      <c r="G33" s="4" t="n">
        <v>142000</v>
      </c>
      <c r="H33" t="inlineStr">
        <is>
          <t>$</t>
        </is>
      </c>
      <c r="I33" t="inlineStr"/>
    </row>
    <row r="34">
      <c r="A34" t="inlineStr">
        <is>
          <t>Taxes municipales et scolaires</t>
        </is>
      </c>
      <c r="B34" s="4" t="n">
        <v>54500</v>
      </c>
      <c r="C34" s="4" t="n">
        <v>75000</v>
      </c>
      <c r="D34" s="4" t="n">
        <v>130000</v>
      </c>
      <c r="E34" s="4" t="n">
        <v>133000</v>
      </c>
      <c r="F34" s="4" t="n">
        <v>136000</v>
      </c>
      <c r="G34" s="4" t="n">
        <v>139000</v>
      </c>
      <c r="H34" t="inlineStr">
        <is>
          <t>$</t>
        </is>
      </c>
      <c r="I34" t="inlineStr">
        <is>
          <t>Rôle 2024-2026</t>
        </is>
      </c>
    </row>
    <row r="35">
      <c r="A35" t="inlineStr">
        <is>
          <t>Marketing : % des revenus</t>
        </is>
      </c>
      <c r="B35" s="3" t="n">
        <v>0.03</v>
      </c>
      <c r="C35" s="3" t="n">
        <v>0.035</v>
      </c>
      <c r="D35" s="3" t="n">
        <v>0.035</v>
      </c>
      <c r="E35" s="3" t="n">
        <v>0.03</v>
      </c>
      <c r="F35" s="3" t="n">
        <v>0.03</v>
      </c>
      <c r="G35" s="3" t="n">
        <v>0.03</v>
      </c>
      <c r="H35" t="inlineStr">
        <is>
          <t>%</t>
        </is>
      </c>
      <c r="I35" t="inlineStr"/>
    </row>
    <row r="37">
      <c r="A37" s="2" t="inlineStr">
        <is>
          <t>TARIFS ET UNITÉS</t>
        </is>
      </c>
    </row>
    <row r="38">
      <c r="A38" t="inlineStr">
        <is>
          <t>Chalets (unités)</t>
        </is>
      </c>
      <c r="B38" s="6" t="n">
        <v>16</v>
      </c>
      <c r="C38" t="inlineStr">
        <is>
          <t>u</t>
        </is>
      </c>
      <c r="D38" t="inlineStr">
        <is>
          <t>Inventaire</t>
        </is>
      </c>
    </row>
    <row r="39">
      <c r="A39" t="inlineStr">
        <is>
          <t>Tarif chalet été</t>
        </is>
      </c>
      <c r="B39" s="4" t="n">
        <v>235</v>
      </c>
      <c r="C39" t="inlineStr">
        <is>
          <t>$</t>
        </is>
      </c>
      <c r="D39" t="inlineStr">
        <is>
          <t>Tarif 2026</t>
        </is>
      </c>
    </row>
    <row r="40">
      <c r="A40" t="inlineStr">
        <is>
          <t>Tarif chalet hiver</t>
        </is>
      </c>
      <c r="B40" s="4" t="n">
        <v>210</v>
      </c>
      <c r="C40" t="inlineStr">
        <is>
          <t>$</t>
        </is>
      </c>
      <c r="D40" t="inlineStr">
        <is>
          <t>hyp.</t>
        </is>
      </c>
    </row>
    <row r="41">
      <c r="A41" t="inlineStr">
        <is>
          <t>Villas (unités)</t>
        </is>
      </c>
      <c r="B41" s="6" t="n">
        <v>13</v>
      </c>
      <c r="C41" t="inlineStr">
        <is>
          <t>u</t>
        </is>
      </c>
      <c r="D41" t="inlineStr"/>
    </row>
    <row r="42">
      <c r="A42" t="inlineStr">
        <is>
          <t>Tarif villa été</t>
        </is>
      </c>
      <c r="B42" s="4" t="n">
        <v>275</v>
      </c>
      <c r="C42" t="inlineStr">
        <is>
          <t>$</t>
        </is>
      </c>
      <c r="D42" t="inlineStr">
        <is>
          <t>Direction</t>
        </is>
      </c>
    </row>
    <row r="43">
      <c r="A43" t="inlineStr">
        <is>
          <t>Tarif villa hiver</t>
        </is>
      </c>
      <c r="B43" s="4" t="n">
        <v>245</v>
      </c>
      <c r="C43" t="inlineStr">
        <is>
          <t>$</t>
        </is>
      </c>
      <c r="D43" t="inlineStr">
        <is>
          <t>hyp.</t>
        </is>
      </c>
    </row>
    <row r="44">
      <c r="A44" t="inlineStr">
        <is>
          <t>Tarif chambre d'hôtel</t>
        </is>
      </c>
      <c r="B44" s="4" t="n">
        <v>190</v>
      </c>
      <c r="C44" t="inlineStr">
        <is>
          <t>$</t>
        </is>
      </c>
      <c r="D44" t="inlineStr">
        <is>
          <t>Tarif 2026</t>
        </is>
      </c>
    </row>
    <row r="45">
      <c r="A45" t="inlineStr">
        <is>
          <t>Unités Coolbox grappe A</t>
        </is>
      </c>
      <c r="B45" s="6" t="n">
        <v>9</v>
      </c>
      <c r="C45" t="inlineStr">
        <is>
          <t>u</t>
        </is>
      </c>
      <c r="D45" t="inlineStr">
        <is>
          <t>Emplacements 2022</t>
        </is>
      </c>
    </row>
    <row r="46">
      <c r="A46" t="inlineStr">
        <is>
          <t>Tarif Coolbox été</t>
        </is>
      </c>
      <c r="B46" s="4" t="n">
        <v>225</v>
      </c>
      <c r="C46" t="inlineStr">
        <is>
          <t>$</t>
        </is>
      </c>
      <c r="D46" t="inlineStr">
        <is>
          <t>Affiché 2023</t>
        </is>
      </c>
    </row>
    <row r="47">
      <c r="A47" t="inlineStr">
        <is>
          <t>Tarif Coolbox hiver</t>
        </is>
      </c>
      <c r="B47" s="4" t="n">
        <v>199</v>
      </c>
      <c r="C47" t="inlineStr">
        <is>
          <t>$</t>
        </is>
      </c>
      <c r="D47" t="inlineStr">
        <is>
          <t>hyp.</t>
        </is>
      </c>
    </row>
    <row r="48">
      <c r="A48" t="inlineStr">
        <is>
          <t>Tarif contrat saisonnier</t>
        </is>
      </c>
      <c r="B48" s="4" t="n">
        <v>3650</v>
      </c>
      <c r="C48" t="inlineStr">
        <is>
          <t>$</t>
        </is>
      </c>
      <c r="D48" t="inlineStr">
        <is>
          <t>2026</t>
        </is>
      </c>
    </row>
    <row r="49">
      <c r="A49" t="inlineStr">
        <is>
          <t>Tarif spa (phase 2, hors base)</t>
        </is>
      </c>
      <c r="B49" s="4" t="n">
        <v>55</v>
      </c>
      <c r="C49" t="inlineStr">
        <is>
          <t>$</t>
        </is>
      </c>
      <c r="D49" t="inlineStr"/>
    </row>
    <row r="51">
      <c r="A51" s="2" t="inlineStr">
        <is>
          <t>CHARGES</t>
        </is>
      </c>
    </row>
    <row r="52">
      <c r="A52" t="inlineStr">
        <is>
          <t>Coût des ventes restauration</t>
        </is>
      </c>
      <c r="B52" s="3" t="n">
        <v>0.33</v>
      </c>
      <c r="C52" t="inlineStr">
        <is>
          <t>%</t>
        </is>
      </c>
      <c r="D52" t="inlineStr">
        <is>
          <t>Norme 30-35 %</t>
        </is>
      </c>
    </row>
    <row r="53">
      <c r="A53" t="inlineStr">
        <is>
          <t>Coût des ventes activités</t>
        </is>
      </c>
      <c r="B53" s="3" t="n">
        <v>0.2</v>
      </c>
      <c r="C53" t="inlineStr">
        <is>
          <t>%</t>
        </is>
      </c>
      <c r="D53" t="inlineStr"/>
    </row>
    <row r="54">
      <c r="A54" t="inlineStr">
        <is>
          <t>Cachets et technique (% billetterie)</t>
        </is>
      </c>
      <c r="B54" s="3" t="n">
        <v>0.55</v>
      </c>
      <c r="C54" t="inlineStr">
        <is>
          <t>%</t>
        </is>
      </c>
      <c r="D54" t="inlineStr">
        <is>
          <t>hyp.</t>
        </is>
      </c>
    </row>
    <row r="55">
      <c r="A55" t="inlineStr">
        <is>
          <t>Commissions plateformes (15 % × 40 % des nuitées hôtel/villas/Coolbox)</t>
        </is>
      </c>
      <c r="B55" s="3" t="n">
        <v>0.06</v>
      </c>
      <c r="C55" t="inlineStr">
        <is>
          <t>%</t>
        </is>
      </c>
      <c r="D55" t="inlineStr">
        <is>
          <t>hyp.</t>
        </is>
      </c>
    </row>
    <row r="56">
      <c r="A56" t="inlineStr">
        <is>
          <t>Entretien (% des revenus)</t>
        </is>
      </c>
      <c r="B56" s="3" t="n">
        <v>0.08</v>
      </c>
      <c r="C56" t="inlineStr">
        <is>
          <t>%</t>
        </is>
      </c>
      <c r="D56" t="inlineStr">
        <is>
          <t>Grenier 2021</t>
        </is>
      </c>
    </row>
    <row r="57">
      <c r="A57" t="inlineStr">
        <is>
          <t>Immobilisations de maintien (% des revenus)</t>
        </is>
      </c>
      <c r="B57" s="3" t="n">
        <v>0.02</v>
      </c>
      <c r="C57" t="inlineStr">
        <is>
          <t>%</t>
        </is>
      </c>
      <c r="D57" t="inlineStr">
        <is>
          <t>Pratique bancaire</t>
        </is>
      </c>
    </row>
    <row r="58">
      <c r="A58" t="inlineStr">
        <is>
          <t>Véhicules et essence (2026)</t>
        </is>
      </c>
      <c r="B58" s="4" t="n">
        <v>88500</v>
      </c>
      <c r="C58" t="inlineStr">
        <is>
          <t>$</t>
        </is>
      </c>
      <c r="D58" t="inlineStr">
        <is>
          <t>Budget de la direction</t>
        </is>
      </c>
    </row>
    <row r="59">
      <c r="A59" t="inlineStr">
        <is>
          <t>Honoraires comptables (2026)</t>
        </is>
      </c>
      <c r="B59" s="4" t="n">
        <v>25000</v>
      </c>
      <c r="C59" t="inlineStr">
        <is>
          <t>$</t>
        </is>
      </c>
      <c r="D59" t="inlineStr">
        <is>
          <t>hyp.</t>
        </is>
      </c>
    </row>
    <row r="60">
      <c r="A60" t="inlineStr">
        <is>
          <t>Administration, TI (% revenus)</t>
        </is>
      </c>
      <c r="B60" s="3" t="n">
        <v>0.02</v>
      </c>
      <c r="C60" t="inlineStr">
        <is>
          <t>%</t>
        </is>
      </c>
      <c r="D60" t="inlineStr"/>
    </row>
    <row r="61">
      <c r="A61" t="inlineStr">
        <is>
          <t>Frais bancaires (% revenus)</t>
        </is>
      </c>
      <c r="B61" s="3" t="n">
        <v>0.015</v>
      </c>
      <c r="C61" t="inlineStr">
        <is>
          <t>%</t>
        </is>
      </c>
      <c r="D61" t="inlineStr"/>
    </row>
    <row r="62">
      <c r="A62" t="inlineStr">
        <is>
          <t>Fournitures (% revenus)</t>
        </is>
      </c>
      <c r="B62" s="3" t="n">
        <v>0.025</v>
      </c>
      <c r="C62" t="inlineStr">
        <is>
          <t>%</t>
        </is>
      </c>
      <c r="D62" t="inlineStr"/>
    </row>
    <row r="63">
      <c r="A63" t="inlineStr">
        <is>
          <t>Loyers et locations (2026)</t>
        </is>
      </c>
      <c r="B63" s="4" t="n">
        <v>42000</v>
      </c>
      <c r="C63" t="inlineStr">
        <is>
          <t>$</t>
        </is>
      </c>
      <c r="D63" t="inlineStr">
        <is>
          <t>Budget de la direction</t>
        </is>
      </c>
    </row>
    <row r="64">
      <c r="A64" t="inlineStr">
        <is>
          <t>Divers (% revenus)</t>
        </is>
      </c>
      <c r="B64" s="3" t="n">
        <v>0.02</v>
      </c>
      <c r="C64" t="inlineStr">
        <is>
          <t>%</t>
        </is>
      </c>
      <c r="D64" t="inlineStr"/>
    </row>
    <row r="65">
      <c r="A65" t="inlineStr">
        <is>
          <t>Amortissement comptable des actifs existants</t>
        </is>
      </c>
      <c r="B65" s="4" t="n">
        <v>150000</v>
      </c>
      <c r="C65" t="inlineStr">
        <is>
          <t>$</t>
        </is>
      </c>
      <c r="D65" t="inlineStr">
        <is>
          <t>hyp.</t>
        </is>
      </c>
    </row>
    <row r="66">
      <c r="A66" t="inlineStr">
        <is>
          <t>Impôt PME (jusqu'à 500 k$)</t>
        </is>
      </c>
      <c r="B66" s="3" t="n">
        <v>0.122</v>
      </c>
      <c r="C66" t="inlineStr">
        <is>
          <t>%</t>
        </is>
      </c>
      <c r="D66" t="inlineStr">
        <is>
          <t>À confirmer</t>
        </is>
      </c>
    </row>
    <row r="67">
      <c r="A67" t="inlineStr">
        <is>
          <t>Impôt général (au-delà)</t>
        </is>
      </c>
      <c r="B67" s="3" t="n">
        <v>0.265</v>
      </c>
      <c r="C67" t="inlineStr">
        <is>
          <t>%</t>
        </is>
      </c>
      <c r="D67" t="inlineStr">
        <is>
          <t>À confirmer</t>
        </is>
      </c>
    </row>
    <row r="68">
      <c r="A68" t="inlineStr">
        <is>
          <t>Dette existante 2026 : taux (intérêts seulement)</t>
        </is>
      </c>
      <c r="B68" s="3" t="n">
        <v>0.075</v>
      </c>
      <c r="C68" t="inlineStr">
        <is>
          <t>%</t>
        </is>
      </c>
      <c r="D68" t="inlineStr">
        <is>
          <t>hyp. ; relevés à joindre</t>
        </is>
      </c>
    </row>
    <row r="70">
      <c r="A70" s="2" t="inlineStr">
        <is>
          <t>PART VARIABLE DES CHARGES (sensibilité)</t>
        </is>
      </c>
    </row>
    <row r="71">
      <c r="A71" t="inlineStr">
        <is>
          <t>Part variable : cout_ventes</t>
        </is>
      </c>
      <c r="B71" s="3" t="n">
        <v>1</v>
      </c>
      <c r="C71" t="inlineStr">
        <is>
          <t>%</t>
        </is>
      </c>
      <c r="D71" t="inlineStr">
        <is>
          <t>Structure du modèle</t>
        </is>
      </c>
    </row>
    <row r="72">
      <c r="A72" t="inlineStr">
        <is>
          <t>Part variable : cachets</t>
        </is>
      </c>
      <c r="B72" s="3" t="n">
        <v>1</v>
      </c>
      <c r="C72" t="inlineStr">
        <is>
          <t>%</t>
        </is>
      </c>
      <c r="D72" t="inlineStr">
        <is>
          <t>Structure du modèle</t>
        </is>
      </c>
    </row>
    <row r="73">
      <c r="A73" t="inlineStr">
        <is>
          <t>Part variable : commissions</t>
        </is>
      </c>
      <c r="B73" s="3" t="n">
        <v>1</v>
      </c>
      <c r="C73" t="inlineStr">
        <is>
          <t>%</t>
        </is>
      </c>
      <c r="D73" t="inlineStr">
        <is>
          <t>Structure du modèle</t>
        </is>
      </c>
    </row>
    <row r="74">
      <c r="A74" t="inlineStr">
        <is>
          <t>Part variable : salaires</t>
        </is>
      </c>
      <c r="B74" s="3" t="n">
        <v>0.5</v>
      </c>
      <c r="C74" t="inlineStr">
        <is>
          <t>%</t>
        </is>
      </c>
      <c r="D74" t="inlineStr">
        <is>
          <t>Structure du modèle</t>
        </is>
      </c>
    </row>
    <row r="75">
      <c r="A75" t="inlineStr">
        <is>
          <t>Part variable : energie</t>
        </is>
      </c>
      <c r="B75" s="3" t="n">
        <v>0.15</v>
      </c>
      <c r="C75" t="inlineStr">
        <is>
          <t>%</t>
        </is>
      </c>
      <c r="D75" t="inlineStr">
        <is>
          <t>Structure du modèle</t>
        </is>
      </c>
    </row>
    <row r="76">
      <c r="A76" t="inlineStr">
        <is>
          <t>Part variable : entretien</t>
        </is>
      </c>
      <c r="B76" s="3" t="n">
        <v>0.5</v>
      </c>
      <c r="C76" t="inlineStr">
        <is>
          <t>%</t>
        </is>
      </c>
      <c r="D76" t="inlineStr">
        <is>
          <t>Structure du modèle</t>
        </is>
      </c>
    </row>
    <row r="77">
      <c r="A77" t="inlineStr">
        <is>
          <t>Part variable : vehicules</t>
        </is>
      </c>
      <c r="B77" s="3" t="n">
        <v>0.3</v>
      </c>
      <c r="C77" t="inlineStr">
        <is>
          <t>%</t>
        </is>
      </c>
      <c r="D77" t="inlineStr">
        <is>
          <t>Structure du modèle</t>
        </is>
      </c>
    </row>
    <row r="78">
      <c r="A78" t="inlineStr">
        <is>
          <t>Part variable : marketing</t>
        </is>
      </c>
      <c r="B78" s="3" t="n">
        <v>0.5</v>
      </c>
      <c r="C78" t="inlineStr">
        <is>
          <t>%</t>
        </is>
      </c>
      <c r="D78" t="inlineStr">
        <is>
          <t>Structure du modèle</t>
        </is>
      </c>
    </row>
    <row r="79">
      <c r="A79" t="inlineStr">
        <is>
          <t>Part variable : assurances</t>
        </is>
      </c>
      <c r="B79" s="3" t="n">
        <v>0</v>
      </c>
      <c r="C79" t="inlineStr">
        <is>
          <t>%</t>
        </is>
      </c>
      <c r="D79" t="inlineStr">
        <is>
          <t>Structure du modèle</t>
        </is>
      </c>
    </row>
    <row r="80">
      <c r="A80" t="inlineStr">
        <is>
          <t>Part variable : taxes</t>
        </is>
      </c>
      <c r="B80" s="3" t="n">
        <v>0</v>
      </c>
      <c r="C80" t="inlineStr">
        <is>
          <t>%</t>
        </is>
      </c>
      <c r="D80" t="inlineStr">
        <is>
          <t>Structure du modèle</t>
        </is>
      </c>
    </row>
    <row r="81">
      <c r="A81" t="inlineStr">
        <is>
          <t>Part variable : honoraires</t>
        </is>
      </c>
      <c r="B81" s="3" t="n">
        <v>0</v>
      </c>
      <c r="C81" t="inlineStr">
        <is>
          <t>%</t>
        </is>
      </c>
      <c r="D81" t="inlineStr">
        <is>
          <t>Structure du modèle</t>
        </is>
      </c>
    </row>
    <row r="82">
      <c r="A82" t="inlineStr">
        <is>
          <t>Part variable : admin</t>
        </is>
      </c>
      <c r="B82" s="3" t="n">
        <v>0.5</v>
      </c>
      <c r="C82" t="inlineStr">
        <is>
          <t>%</t>
        </is>
      </c>
      <c r="D82" t="inlineStr">
        <is>
          <t>Structure du modèle</t>
        </is>
      </c>
    </row>
    <row r="83">
      <c r="A83" t="inlineStr">
        <is>
          <t>Part variable : bancaires</t>
        </is>
      </c>
      <c r="B83" s="3" t="n">
        <v>1</v>
      </c>
      <c r="C83" t="inlineStr">
        <is>
          <t>%</t>
        </is>
      </c>
      <c r="D83" t="inlineStr">
        <is>
          <t>Structure du modèle</t>
        </is>
      </c>
    </row>
    <row r="84">
      <c r="A84" t="inlineStr">
        <is>
          <t>Part variable : fournitures</t>
        </is>
      </c>
      <c r="B84" s="3" t="n">
        <v>1</v>
      </c>
      <c r="C84" t="inlineStr">
        <is>
          <t>%</t>
        </is>
      </c>
      <c r="D84" t="inlineStr">
        <is>
          <t>Structure du modèle</t>
        </is>
      </c>
    </row>
    <row r="85">
      <c r="A85" t="inlineStr">
        <is>
          <t>Part variable : loyers</t>
        </is>
      </c>
      <c r="B85" s="3" t="n">
        <v>0</v>
      </c>
      <c r="C85" t="inlineStr">
        <is>
          <t>%</t>
        </is>
      </c>
      <c r="D85" t="inlineStr">
        <is>
          <t>Structure du modèle</t>
        </is>
      </c>
    </row>
    <row r="86">
      <c r="A86" t="inlineStr">
        <is>
          <t>Part variable : divers</t>
        </is>
      </c>
      <c r="B86" s="3" t="n">
        <v>1</v>
      </c>
      <c r="C86" t="inlineStr">
        <is>
          <t>%</t>
        </is>
      </c>
      <c r="D86" t="inlineStr">
        <is>
          <t>Structure du modèle</t>
        </is>
      </c>
    </row>
    <row r="87">
      <c r="A87" t="inlineStr">
        <is>
          <t>SCÉNARIO : facteur sur les revenus (1 = base)</t>
        </is>
      </c>
      <c r="B87" s="5" t="n">
        <v>1</v>
      </c>
      <c r="C87" t="inlineStr">
        <is>
          <t>x</t>
        </is>
      </c>
      <c r="D87" t="inlineStr">
        <is>
          <t>Modifier pour tester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Emploi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Projets de développement (hôtel, restaurant, villas, chalets, unités Coolbox, saisonniers)</t>
        </is>
      </c>
      <c r="B2" s="4" t="n">
        <v>3970000</v>
      </c>
    </row>
    <row r="3">
      <c r="A3" t="inlineStr">
        <is>
          <t>Contingence (5 % forfaits d'usine, 10 % travaux de chantier)</t>
        </is>
      </c>
      <c r="B3" s="4" t="n">
        <v>291000</v>
      </c>
    </row>
    <row r="4">
      <c r="A4" t="inlineStr">
        <is>
          <t>Honoraires professionnels (plans, ingénierie, permis)</t>
        </is>
      </c>
      <c r="B4" s="4" t="n">
        <v>175000</v>
      </c>
    </row>
    <row r="5">
      <c r="A5" t="inlineStr">
        <is>
          <t>Frais de démarrage, permis et mise à niveau des installations</t>
        </is>
      </c>
      <c r="B5" s="4" t="n">
        <v>250000</v>
      </c>
    </row>
    <row r="6">
      <c r="A6" t="inlineStr">
        <is>
          <t>Intérêts capitalisés pendant la construction</t>
        </is>
      </c>
      <c r="B6" s="4" t="n">
        <v>52500</v>
      </c>
    </row>
    <row r="7">
      <c r="A7" t="inlineStr">
        <is>
          <t>Réserve de service de la dette (6 mois, déposée à la clôture)</t>
        </is>
      </c>
      <c r="B7" s="4" t="n">
        <v>233237</v>
      </c>
    </row>
    <row r="8">
      <c r="A8" t="inlineStr">
        <is>
          <t>Frais de financement et juridiques (montage multi-bailleurs)</t>
        </is>
      </c>
      <c r="B8" s="4" t="n">
        <v>125000</v>
      </c>
    </row>
    <row r="9">
      <c r="A9" t="inlineStr">
        <is>
          <t>Fonds de roulement de démarrage</t>
        </is>
      </c>
      <c r="B9" s="4" t="n">
        <v>250000</v>
      </c>
    </row>
    <row r="10">
      <c r="A10" t="inlineStr">
        <is>
          <t>Refinancement de la dette existante</t>
        </is>
      </c>
      <c r="B10" s="4" t="n">
        <v>4000000</v>
      </c>
    </row>
    <row r="11">
      <c r="A11" s="2" t="inlineStr">
        <is>
          <t>Total des emplois</t>
        </is>
      </c>
      <c r="B11" s="7">
        <f>SUM(B2:B10)</f>
        <v/>
      </c>
    </row>
    <row r="13">
      <c r="A13" s="1" t="inlineStr">
        <is>
          <t>Source</t>
        </is>
      </c>
      <c r="B13" s="1" t="inlineStr">
        <is>
          <t>Montant</t>
        </is>
      </c>
      <c r="C13" s="1" t="inlineStr">
        <is>
          <t>Taux</t>
        </is>
      </c>
      <c r="D13" s="1" t="inlineStr">
        <is>
          <t>Amortissement (ans)</t>
        </is>
      </c>
      <c r="E13" s="1" t="inlineStr">
        <is>
          <t>Moratoire (mois)</t>
        </is>
      </c>
      <c r="F13" s="1" t="inlineStr">
        <is>
          <t>Statut</t>
        </is>
      </c>
    </row>
    <row r="14">
      <c r="A14" t="inlineStr">
        <is>
          <t>Prêt hypothécaire de premier rang (tranche A refinancement, tranche B construction)</t>
        </is>
      </c>
      <c r="B14" s="4" t="n">
        <v>5500000</v>
      </c>
      <c r="C14" s="3" t="n">
        <v>0.07000000000000001</v>
      </c>
      <c r="D14" s="6" t="n">
        <v>25</v>
      </c>
      <c r="E14" s="6" t="n">
        <v>12</v>
      </c>
      <c r="F14" t="inlineStr">
        <is>
          <t>Demandé</t>
        </is>
      </c>
    </row>
    <row r="15">
      <c r="A15" t="inlineStr">
        <is>
          <t>DEC – contribution remboursable sans intérêt</t>
        </is>
      </c>
      <c r="B15" s="4" t="n">
        <v>500000</v>
      </c>
      <c r="C15" s="3" t="n">
        <v>0</v>
      </c>
      <c r="D15" s="6" t="n">
        <v>7</v>
      </c>
      <c r="E15" s="6" t="n">
        <v>24</v>
      </c>
      <c r="F15" t="inlineStr">
        <is>
          <t>À solliciter</t>
        </is>
      </c>
    </row>
    <row r="16">
      <c r="A16" t="inlineStr">
        <is>
          <t>Quasi-équité : Fonds régional de solidarité FTQ Estrie ou Fondaction</t>
        </is>
      </c>
      <c r="B16" s="4" t="n">
        <v>750000</v>
      </c>
      <c r="C16" s="3" t="n">
        <v>0.09</v>
      </c>
      <c r="D16" s="6" t="n">
        <v>7</v>
      </c>
      <c r="E16" s="6" t="n">
        <v>36</v>
      </c>
      <c r="F16" t="inlineStr">
        <is>
          <t>À solliciter</t>
        </is>
      </c>
    </row>
    <row r="17">
      <c r="A17" t="inlineStr">
        <is>
          <t>MRC du Val-Saint-François – FLI / FLS</t>
        </is>
      </c>
      <c r="B17" s="4" t="n">
        <v>150000</v>
      </c>
      <c r="C17" s="3" t="n">
        <v>0.06</v>
      </c>
      <c r="D17" s="6" t="n">
        <v>7</v>
      </c>
      <c r="E17" s="6" t="n">
        <v>12</v>
      </c>
      <c r="F17" t="inlineStr">
        <is>
          <t>À solliciter</t>
        </is>
      </c>
    </row>
    <row r="18">
      <c r="A18" t="inlineStr">
        <is>
          <t>Construction Prospère – retenue contractuelle subordonnée (10 % des travaux de chantier)</t>
        </is>
      </c>
      <c r="B18" s="4" t="n">
        <v>185000</v>
      </c>
      <c r="C18" s="3" t="n">
        <v>0.05</v>
      </c>
      <c r="D18" s="6" t="n">
        <v>5</v>
      </c>
      <c r="E18" s="6" t="n">
        <v>24</v>
      </c>
      <c r="F18" t="inlineStr">
        <is>
          <t>Engagé (à signer)</t>
        </is>
      </c>
    </row>
    <row r="19">
      <c r="A19" s="2" t="inlineStr">
        <is>
          <t>Fonds propres (= emplois − couches de dette)</t>
        </is>
      </c>
      <c r="B19" s="7">
        <f>Investissement!$B$11-SUM(B14:B18)</f>
        <v/>
      </c>
    </row>
    <row r="20">
      <c r="A20" s="2" t="inlineStr">
        <is>
          <t>Total des sources</t>
        </is>
      </c>
      <c r="B20" s="7">
        <f>SUM(B14:B19)</f>
        <v/>
      </c>
    </row>
    <row r="21">
      <c r="A21" t="inlineStr">
        <is>
          <t>Argent neuf (emplois hors refinancement)</t>
        </is>
      </c>
      <c r="B21" s="7">
        <f>Investissement!$B$11-B10</f>
        <v/>
      </c>
    </row>
    <row r="22">
      <c r="A22" t="inlineStr">
        <is>
          <t>Fonds propres / argent neuf</t>
        </is>
      </c>
      <c r="B22" s="8">
        <f>Investissement!$B$19/Investissement!$B$21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Prêt hypothécaire de premier rang (tranche A refinancement, tranche B construction)</t>
        </is>
      </c>
    </row>
    <row r="2">
      <c r="A2" t="inlineStr">
        <is>
          <t>Montant</t>
        </is>
      </c>
      <c r="B2" s="7">
        <f>Investissement!B14</f>
        <v/>
      </c>
      <c r="C2" t="inlineStr">
        <is>
          <t>Taux</t>
        </is>
      </c>
      <c r="D2" s="8">
        <f>Investissement!C14</f>
        <v/>
      </c>
      <c r="E2" t="inlineStr">
        <is>
          <t>Amort. (ans)</t>
        </is>
      </c>
      <c r="F2">
        <f>Investissement!D14</f>
        <v/>
      </c>
      <c r="G2" t="inlineStr">
        <is>
          <t>Moratoire (mois)</t>
        </is>
      </c>
      <c r="H2">
        <f>Investissement!E14</f>
        <v/>
      </c>
      <c r="I2" t="inlineStr">
        <is>
          <t>Paiement mensuel</t>
        </is>
      </c>
      <c r="J2" s="7">
        <f>IF(D2=0,B2/(F2*12),PMT(D2/12,F2*12,-B2))</f>
        <v/>
      </c>
    </row>
    <row r="3">
      <c r="A3" s="1" t="inlineStr">
        <is>
          <t>Mois</t>
        </is>
      </c>
      <c r="B3" s="1" t="inlineStr">
        <is>
          <t>Solde début</t>
        </is>
      </c>
      <c r="C3" s="1" t="inlineStr">
        <is>
          <t>Intérêts</t>
        </is>
      </c>
      <c r="D3" s="1" t="inlineStr">
        <is>
          <t>Capital</t>
        </is>
      </c>
      <c r="E3" s="1" t="inlineStr">
        <is>
          <t>Paiement</t>
        </is>
      </c>
      <c r="F3" s="1" t="inlineStr">
        <is>
          <t>Solde fin</t>
        </is>
      </c>
    </row>
    <row r="4">
      <c r="A4" t="n">
        <v>1</v>
      </c>
      <c r="B4" s="7">
        <f>B2</f>
        <v/>
      </c>
      <c r="C4" s="7">
        <f>B4*D$2/12*1.0</f>
        <v/>
      </c>
      <c r="D4" s="7">
        <f>IF(A4&lt;=H$2,0,MIN(B4,IF(D$2=0,J$2,J$2-B4*D$2/12)))</f>
        <v/>
      </c>
      <c r="E4" s="7">
        <f>C4+D4</f>
        <v/>
      </c>
      <c r="F4" s="7">
        <f>B4-D4</f>
        <v/>
      </c>
    </row>
    <row r="5">
      <c r="A5" t="n">
        <v>2</v>
      </c>
      <c r="B5" s="7">
        <f>F4</f>
        <v/>
      </c>
      <c r="C5" s="7">
        <f>B5*D$2/12*1.0</f>
        <v/>
      </c>
      <c r="D5" s="7">
        <f>IF(A5&lt;=H$2,0,MIN(B5,IF(D$2=0,J$2,J$2-B5*D$2/12)))</f>
        <v/>
      </c>
      <c r="E5" s="7">
        <f>C5+D5</f>
        <v/>
      </c>
      <c r="F5" s="7">
        <f>B5-D5</f>
        <v/>
      </c>
    </row>
    <row r="6">
      <c r="A6" t="n">
        <v>3</v>
      </c>
      <c r="B6" s="7">
        <f>F5</f>
        <v/>
      </c>
      <c r="C6" s="7">
        <f>B6*D$2/12*1.0</f>
        <v/>
      </c>
      <c r="D6" s="7">
        <f>IF(A6&lt;=H$2,0,MIN(B6,IF(D$2=0,J$2,J$2-B6*D$2/12)))</f>
        <v/>
      </c>
      <c r="E6" s="7">
        <f>C6+D6</f>
        <v/>
      </c>
      <c r="F6" s="7">
        <f>B6-D6</f>
        <v/>
      </c>
    </row>
    <row r="7">
      <c r="A7" t="n">
        <v>4</v>
      </c>
      <c r="B7" s="7">
        <f>F6</f>
        <v/>
      </c>
      <c r="C7" s="7">
        <f>B7*D$2/12*1.0</f>
        <v/>
      </c>
      <c r="D7" s="7">
        <f>IF(A7&lt;=H$2,0,MIN(B7,IF(D$2=0,J$2,J$2-B7*D$2/12)))</f>
        <v/>
      </c>
      <c r="E7" s="7">
        <f>C7+D7</f>
        <v/>
      </c>
      <c r="F7" s="7">
        <f>B7-D7</f>
        <v/>
      </c>
    </row>
    <row r="8">
      <c r="A8" t="n">
        <v>5</v>
      </c>
      <c r="B8" s="7">
        <f>F7</f>
        <v/>
      </c>
      <c r="C8" s="7">
        <f>B8*D$2/12*1.0</f>
        <v/>
      </c>
      <c r="D8" s="7">
        <f>IF(A8&lt;=H$2,0,MIN(B8,IF(D$2=0,J$2,J$2-B8*D$2/12)))</f>
        <v/>
      </c>
      <c r="E8" s="7">
        <f>C8+D8</f>
        <v/>
      </c>
      <c r="F8" s="7">
        <f>B8-D8</f>
        <v/>
      </c>
    </row>
    <row r="9">
      <c r="A9" t="n">
        <v>6</v>
      </c>
      <c r="B9" s="7">
        <f>F8</f>
        <v/>
      </c>
      <c r="C9" s="7">
        <f>B9*D$2/12*1.0</f>
        <v/>
      </c>
      <c r="D9" s="7">
        <f>IF(A9&lt;=H$2,0,MIN(B9,IF(D$2=0,J$2,J$2-B9*D$2/12)))</f>
        <v/>
      </c>
      <c r="E9" s="7">
        <f>C9+D9</f>
        <v/>
      </c>
      <c r="F9" s="7">
        <f>B9-D9</f>
        <v/>
      </c>
    </row>
    <row r="10">
      <c r="A10" t="n">
        <v>7</v>
      </c>
      <c r="B10" s="7">
        <f>F9</f>
        <v/>
      </c>
      <c r="C10" s="7">
        <f>B10*D$2/12*1.0</f>
        <v/>
      </c>
      <c r="D10" s="7">
        <f>IF(A10&lt;=H$2,0,MIN(B10,IF(D$2=0,J$2,J$2-B10*D$2/12)))</f>
        <v/>
      </c>
      <c r="E10" s="7">
        <f>C10+D10</f>
        <v/>
      </c>
      <c r="F10" s="7">
        <f>B10-D10</f>
        <v/>
      </c>
    </row>
    <row r="11">
      <c r="A11" t="n">
        <v>8</v>
      </c>
      <c r="B11" s="7">
        <f>F10</f>
        <v/>
      </c>
      <c r="C11" s="7">
        <f>B11*D$2/12*1.0</f>
        <v/>
      </c>
      <c r="D11" s="7">
        <f>IF(A11&lt;=H$2,0,MIN(B11,IF(D$2=0,J$2,J$2-B11*D$2/12)))</f>
        <v/>
      </c>
      <c r="E11" s="7">
        <f>C11+D11</f>
        <v/>
      </c>
      <c r="F11" s="7">
        <f>B11-D11</f>
        <v/>
      </c>
    </row>
    <row r="12">
      <c r="A12" t="n">
        <v>9</v>
      </c>
      <c r="B12" s="7">
        <f>F11</f>
        <v/>
      </c>
      <c r="C12" s="7">
        <f>B12*D$2/12*1.0</f>
        <v/>
      </c>
      <c r="D12" s="7">
        <f>IF(A12&lt;=H$2,0,MIN(B12,IF(D$2=0,J$2,J$2-B12*D$2/12)))</f>
        <v/>
      </c>
      <c r="E12" s="7">
        <f>C12+D12</f>
        <v/>
      </c>
      <c r="F12" s="7">
        <f>B12-D12</f>
        <v/>
      </c>
    </row>
    <row r="13">
      <c r="A13" t="n">
        <v>10</v>
      </c>
      <c r="B13" s="7">
        <f>F12</f>
        <v/>
      </c>
      <c r="C13" s="7">
        <f>B13*D$2/12*1.0</f>
        <v/>
      </c>
      <c r="D13" s="7">
        <f>IF(A13&lt;=H$2,0,MIN(B13,IF(D$2=0,J$2,J$2-B13*D$2/12)))</f>
        <v/>
      </c>
      <c r="E13" s="7">
        <f>C13+D13</f>
        <v/>
      </c>
      <c r="F13" s="7">
        <f>B13-D13</f>
        <v/>
      </c>
    </row>
    <row r="14">
      <c r="A14" t="n">
        <v>11</v>
      </c>
      <c r="B14" s="7">
        <f>F13</f>
        <v/>
      </c>
      <c r="C14" s="7">
        <f>B14*D$2/12*1.0</f>
        <v/>
      </c>
      <c r="D14" s="7">
        <f>IF(A14&lt;=H$2,0,MIN(B14,IF(D$2=0,J$2,J$2-B14*D$2/12)))</f>
        <v/>
      </c>
      <c r="E14" s="7">
        <f>C14+D14</f>
        <v/>
      </c>
      <c r="F14" s="7">
        <f>B14-D14</f>
        <v/>
      </c>
    </row>
    <row r="15">
      <c r="A15" t="n">
        <v>12</v>
      </c>
      <c r="B15" s="7">
        <f>F14</f>
        <v/>
      </c>
      <c r="C15" s="7">
        <f>B15*D$2/12*1.0</f>
        <v/>
      </c>
      <c r="D15" s="7">
        <f>IF(A15&lt;=H$2,0,MIN(B15,IF(D$2=0,J$2,J$2-B15*D$2/12)))</f>
        <v/>
      </c>
      <c r="E15" s="7">
        <f>C15+D15</f>
        <v/>
      </c>
      <c r="F15" s="7">
        <f>B15-D15</f>
        <v/>
      </c>
    </row>
    <row r="16">
      <c r="A16" t="n">
        <v>13</v>
      </c>
      <c r="B16" s="7">
        <f>F15</f>
        <v/>
      </c>
      <c r="C16" s="7">
        <f>B16*D$2/12</f>
        <v/>
      </c>
      <c r="D16" s="7">
        <f>IF(A16&lt;=H$2,0,MIN(B16,IF(D$2=0,J$2,J$2-B16*D$2/12)))</f>
        <v/>
      </c>
      <c r="E16" s="7">
        <f>C16+D16</f>
        <v/>
      </c>
      <c r="F16" s="7">
        <f>B16-D16</f>
        <v/>
      </c>
    </row>
    <row r="17">
      <c r="A17" t="n">
        <v>14</v>
      </c>
      <c r="B17" s="7">
        <f>F16</f>
        <v/>
      </c>
      <c r="C17" s="7">
        <f>B17*D$2/12</f>
        <v/>
      </c>
      <c r="D17" s="7">
        <f>IF(A17&lt;=H$2,0,MIN(B17,IF(D$2=0,J$2,J$2-B17*D$2/12)))</f>
        <v/>
      </c>
      <c r="E17" s="7">
        <f>C17+D17</f>
        <v/>
      </c>
      <c r="F17" s="7">
        <f>B17-D17</f>
        <v/>
      </c>
    </row>
    <row r="18">
      <c r="A18" t="n">
        <v>15</v>
      </c>
      <c r="B18" s="7">
        <f>F17</f>
        <v/>
      </c>
      <c r="C18" s="7">
        <f>B18*D$2/12</f>
        <v/>
      </c>
      <c r="D18" s="7">
        <f>IF(A18&lt;=H$2,0,MIN(B18,IF(D$2=0,J$2,J$2-B18*D$2/12)))</f>
        <v/>
      </c>
      <c r="E18" s="7">
        <f>C18+D18</f>
        <v/>
      </c>
      <c r="F18" s="7">
        <f>B18-D18</f>
        <v/>
      </c>
    </row>
    <row r="19">
      <c r="A19" t="n">
        <v>16</v>
      </c>
      <c r="B19" s="7">
        <f>F18</f>
        <v/>
      </c>
      <c r="C19" s="7">
        <f>B19*D$2/12</f>
        <v/>
      </c>
      <c r="D19" s="7">
        <f>IF(A19&lt;=H$2,0,MIN(B19,IF(D$2=0,J$2,J$2-B19*D$2/12)))</f>
        <v/>
      </c>
      <c r="E19" s="7">
        <f>C19+D19</f>
        <v/>
      </c>
      <c r="F19" s="7">
        <f>B19-D19</f>
        <v/>
      </c>
    </row>
    <row r="20">
      <c r="A20" t="n">
        <v>17</v>
      </c>
      <c r="B20" s="7">
        <f>F19</f>
        <v/>
      </c>
      <c r="C20" s="7">
        <f>B20*D$2/12</f>
        <v/>
      </c>
      <c r="D20" s="7">
        <f>IF(A20&lt;=H$2,0,MIN(B20,IF(D$2=0,J$2,J$2-B20*D$2/12)))</f>
        <v/>
      </c>
      <c r="E20" s="7">
        <f>C20+D20</f>
        <v/>
      </c>
      <c r="F20" s="7">
        <f>B20-D20</f>
        <v/>
      </c>
    </row>
    <row r="21">
      <c r="A21" t="n">
        <v>18</v>
      </c>
      <c r="B21" s="7">
        <f>F20</f>
        <v/>
      </c>
      <c r="C21" s="7">
        <f>B21*D$2/12</f>
        <v/>
      </c>
      <c r="D21" s="7">
        <f>IF(A21&lt;=H$2,0,MIN(B21,IF(D$2=0,J$2,J$2-B21*D$2/12)))</f>
        <v/>
      </c>
      <c r="E21" s="7">
        <f>C21+D21</f>
        <v/>
      </c>
      <c r="F21" s="7">
        <f>B21-D21</f>
        <v/>
      </c>
    </row>
    <row r="22">
      <c r="A22" t="n">
        <v>19</v>
      </c>
      <c r="B22" s="7">
        <f>F21</f>
        <v/>
      </c>
      <c r="C22" s="7">
        <f>B22*D$2/12</f>
        <v/>
      </c>
      <c r="D22" s="7">
        <f>IF(A22&lt;=H$2,0,MIN(B22,IF(D$2=0,J$2,J$2-B22*D$2/12)))</f>
        <v/>
      </c>
      <c r="E22" s="7">
        <f>C22+D22</f>
        <v/>
      </c>
      <c r="F22" s="7">
        <f>B22-D22</f>
        <v/>
      </c>
    </row>
    <row r="23">
      <c r="A23" t="n">
        <v>20</v>
      </c>
      <c r="B23" s="7">
        <f>F22</f>
        <v/>
      </c>
      <c r="C23" s="7">
        <f>B23*D$2/12</f>
        <v/>
      </c>
      <c r="D23" s="7">
        <f>IF(A23&lt;=H$2,0,MIN(B23,IF(D$2=0,J$2,J$2-B23*D$2/12)))</f>
        <v/>
      </c>
      <c r="E23" s="7">
        <f>C23+D23</f>
        <v/>
      </c>
      <c r="F23" s="7">
        <f>B23-D23</f>
        <v/>
      </c>
    </row>
    <row r="24">
      <c r="A24" t="n">
        <v>21</v>
      </c>
      <c r="B24" s="7">
        <f>F23</f>
        <v/>
      </c>
      <c r="C24" s="7">
        <f>B24*D$2/12</f>
        <v/>
      </c>
      <c r="D24" s="7">
        <f>IF(A24&lt;=H$2,0,MIN(B24,IF(D$2=0,J$2,J$2-B24*D$2/12)))</f>
        <v/>
      </c>
      <c r="E24" s="7">
        <f>C24+D24</f>
        <v/>
      </c>
      <c r="F24" s="7">
        <f>B24-D24</f>
        <v/>
      </c>
    </row>
    <row r="25">
      <c r="A25" t="n">
        <v>22</v>
      </c>
      <c r="B25" s="7">
        <f>F24</f>
        <v/>
      </c>
      <c r="C25" s="7">
        <f>B25*D$2/12</f>
        <v/>
      </c>
      <c r="D25" s="7">
        <f>IF(A25&lt;=H$2,0,MIN(B25,IF(D$2=0,J$2,J$2-B25*D$2/12)))</f>
        <v/>
      </c>
      <c r="E25" s="7">
        <f>C25+D25</f>
        <v/>
      </c>
      <c r="F25" s="7">
        <f>B25-D25</f>
        <v/>
      </c>
    </row>
    <row r="26">
      <c r="A26" t="n">
        <v>23</v>
      </c>
      <c r="B26" s="7">
        <f>F25</f>
        <v/>
      </c>
      <c r="C26" s="7">
        <f>B26*D$2/12</f>
        <v/>
      </c>
      <c r="D26" s="7">
        <f>IF(A26&lt;=H$2,0,MIN(B26,IF(D$2=0,J$2,J$2-B26*D$2/12)))</f>
        <v/>
      </c>
      <c r="E26" s="7">
        <f>C26+D26</f>
        <v/>
      </c>
      <c r="F26" s="7">
        <f>B26-D26</f>
        <v/>
      </c>
    </row>
    <row r="27">
      <c r="A27" t="n">
        <v>24</v>
      </c>
      <c r="B27" s="7">
        <f>F26</f>
        <v/>
      </c>
      <c r="C27" s="7">
        <f>B27*D$2/12</f>
        <v/>
      </c>
      <c r="D27" s="7">
        <f>IF(A27&lt;=H$2,0,MIN(B27,IF(D$2=0,J$2,J$2-B27*D$2/12)))</f>
        <v/>
      </c>
      <c r="E27" s="7">
        <f>C27+D27</f>
        <v/>
      </c>
      <c r="F27" s="7">
        <f>B27-D27</f>
        <v/>
      </c>
    </row>
    <row r="28">
      <c r="A28" t="n">
        <v>25</v>
      </c>
      <c r="B28" s="7">
        <f>F27</f>
        <v/>
      </c>
      <c r="C28" s="7">
        <f>B28*D$2/12</f>
        <v/>
      </c>
      <c r="D28" s="7">
        <f>IF(A28&lt;=H$2,0,MIN(B28,IF(D$2=0,J$2,J$2-B28*D$2/12)))</f>
        <v/>
      </c>
      <c r="E28" s="7">
        <f>C28+D28</f>
        <v/>
      </c>
      <c r="F28" s="7">
        <f>B28-D28</f>
        <v/>
      </c>
    </row>
    <row r="29">
      <c r="A29" t="n">
        <v>26</v>
      </c>
      <c r="B29" s="7">
        <f>F28</f>
        <v/>
      </c>
      <c r="C29" s="7">
        <f>B29*D$2/12</f>
        <v/>
      </c>
      <c r="D29" s="7">
        <f>IF(A29&lt;=H$2,0,MIN(B29,IF(D$2=0,J$2,J$2-B29*D$2/12)))</f>
        <v/>
      </c>
      <c r="E29" s="7">
        <f>C29+D29</f>
        <v/>
      </c>
      <c r="F29" s="7">
        <f>B29-D29</f>
        <v/>
      </c>
    </row>
    <row r="30">
      <c r="A30" t="n">
        <v>27</v>
      </c>
      <c r="B30" s="7">
        <f>F29</f>
        <v/>
      </c>
      <c r="C30" s="7">
        <f>B30*D$2/12</f>
        <v/>
      </c>
      <c r="D30" s="7">
        <f>IF(A30&lt;=H$2,0,MIN(B30,IF(D$2=0,J$2,J$2-B30*D$2/12)))</f>
        <v/>
      </c>
      <c r="E30" s="7">
        <f>C30+D30</f>
        <v/>
      </c>
      <c r="F30" s="7">
        <f>B30-D30</f>
        <v/>
      </c>
    </row>
    <row r="31">
      <c r="A31" t="n">
        <v>28</v>
      </c>
      <c r="B31" s="7">
        <f>F30</f>
        <v/>
      </c>
      <c r="C31" s="7">
        <f>B31*D$2/12</f>
        <v/>
      </c>
      <c r="D31" s="7">
        <f>IF(A31&lt;=H$2,0,MIN(B31,IF(D$2=0,J$2,J$2-B31*D$2/12)))</f>
        <v/>
      </c>
      <c r="E31" s="7">
        <f>C31+D31</f>
        <v/>
      </c>
      <c r="F31" s="7">
        <f>B31-D31</f>
        <v/>
      </c>
    </row>
    <row r="32">
      <c r="A32" t="n">
        <v>29</v>
      </c>
      <c r="B32" s="7">
        <f>F31</f>
        <v/>
      </c>
      <c r="C32" s="7">
        <f>B32*D$2/12</f>
        <v/>
      </c>
      <c r="D32" s="7">
        <f>IF(A32&lt;=H$2,0,MIN(B32,IF(D$2=0,J$2,J$2-B32*D$2/12)))</f>
        <v/>
      </c>
      <c r="E32" s="7">
        <f>C32+D32</f>
        <v/>
      </c>
      <c r="F32" s="7">
        <f>B32-D32</f>
        <v/>
      </c>
    </row>
    <row r="33">
      <c r="A33" t="n">
        <v>30</v>
      </c>
      <c r="B33" s="7">
        <f>F32</f>
        <v/>
      </c>
      <c r="C33" s="7">
        <f>B33*D$2/12</f>
        <v/>
      </c>
      <c r="D33" s="7">
        <f>IF(A33&lt;=H$2,0,MIN(B33,IF(D$2=0,J$2,J$2-B33*D$2/12)))</f>
        <v/>
      </c>
      <c r="E33" s="7">
        <f>C33+D33</f>
        <v/>
      </c>
      <c r="F33" s="7">
        <f>B33-D33</f>
        <v/>
      </c>
    </row>
    <row r="34">
      <c r="A34" t="n">
        <v>31</v>
      </c>
      <c r="B34" s="7">
        <f>F33</f>
        <v/>
      </c>
      <c r="C34" s="7">
        <f>B34*D$2/12</f>
        <v/>
      </c>
      <c r="D34" s="7">
        <f>IF(A34&lt;=H$2,0,MIN(B34,IF(D$2=0,J$2,J$2-B34*D$2/12)))</f>
        <v/>
      </c>
      <c r="E34" s="7">
        <f>C34+D34</f>
        <v/>
      </c>
      <c r="F34" s="7">
        <f>B34-D34</f>
        <v/>
      </c>
    </row>
    <row r="35">
      <c r="A35" t="n">
        <v>32</v>
      </c>
      <c r="B35" s="7">
        <f>F34</f>
        <v/>
      </c>
      <c r="C35" s="7">
        <f>B35*D$2/12</f>
        <v/>
      </c>
      <c r="D35" s="7">
        <f>IF(A35&lt;=H$2,0,MIN(B35,IF(D$2=0,J$2,J$2-B35*D$2/12)))</f>
        <v/>
      </c>
      <c r="E35" s="7">
        <f>C35+D35</f>
        <v/>
      </c>
      <c r="F35" s="7">
        <f>B35-D35</f>
        <v/>
      </c>
    </row>
    <row r="36">
      <c r="A36" t="n">
        <v>33</v>
      </c>
      <c r="B36" s="7">
        <f>F35</f>
        <v/>
      </c>
      <c r="C36" s="7">
        <f>B36*D$2/12</f>
        <v/>
      </c>
      <c r="D36" s="7">
        <f>IF(A36&lt;=H$2,0,MIN(B36,IF(D$2=0,J$2,J$2-B36*D$2/12)))</f>
        <v/>
      </c>
      <c r="E36" s="7">
        <f>C36+D36</f>
        <v/>
      </c>
      <c r="F36" s="7">
        <f>B36-D36</f>
        <v/>
      </c>
    </row>
    <row r="37">
      <c r="A37" t="n">
        <v>34</v>
      </c>
      <c r="B37" s="7">
        <f>F36</f>
        <v/>
      </c>
      <c r="C37" s="7">
        <f>B37*D$2/12</f>
        <v/>
      </c>
      <c r="D37" s="7">
        <f>IF(A37&lt;=H$2,0,MIN(B37,IF(D$2=0,J$2,J$2-B37*D$2/12)))</f>
        <v/>
      </c>
      <c r="E37" s="7">
        <f>C37+D37</f>
        <v/>
      </c>
      <c r="F37" s="7">
        <f>B37-D37</f>
        <v/>
      </c>
    </row>
    <row r="38">
      <c r="A38" t="n">
        <v>35</v>
      </c>
      <c r="B38" s="7">
        <f>F37</f>
        <v/>
      </c>
      <c r="C38" s="7">
        <f>B38*D$2/12</f>
        <v/>
      </c>
      <c r="D38" s="7">
        <f>IF(A38&lt;=H$2,0,MIN(B38,IF(D$2=0,J$2,J$2-B38*D$2/12)))</f>
        <v/>
      </c>
      <c r="E38" s="7">
        <f>C38+D38</f>
        <v/>
      </c>
      <c r="F38" s="7">
        <f>B38-D38</f>
        <v/>
      </c>
    </row>
    <row r="39">
      <c r="A39" t="n">
        <v>36</v>
      </c>
      <c r="B39" s="7">
        <f>F38</f>
        <v/>
      </c>
      <c r="C39" s="7">
        <f>B39*D$2/12</f>
        <v/>
      </c>
      <c r="D39" s="7">
        <f>IF(A39&lt;=H$2,0,MIN(B39,IF(D$2=0,J$2,J$2-B39*D$2/12)))</f>
        <v/>
      </c>
      <c r="E39" s="7">
        <f>C39+D39</f>
        <v/>
      </c>
      <c r="F39" s="7">
        <f>B39-D39</f>
        <v/>
      </c>
    </row>
    <row r="40">
      <c r="A40" t="n">
        <v>37</v>
      </c>
      <c r="B40" s="7">
        <f>F39</f>
        <v/>
      </c>
      <c r="C40" s="7">
        <f>B40*D$2/12</f>
        <v/>
      </c>
      <c r="D40" s="7">
        <f>IF(A40&lt;=H$2,0,MIN(B40,IF(D$2=0,J$2,J$2-B40*D$2/12)))</f>
        <v/>
      </c>
      <c r="E40" s="7">
        <f>C40+D40</f>
        <v/>
      </c>
      <c r="F40" s="7">
        <f>B40-D40</f>
        <v/>
      </c>
    </row>
    <row r="41">
      <c r="A41" t="n">
        <v>38</v>
      </c>
      <c r="B41" s="7">
        <f>F40</f>
        <v/>
      </c>
      <c r="C41" s="7">
        <f>B41*D$2/12</f>
        <v/>
      </c>
      <c r="D41" s="7">
        <f>IF(A41&lt;=H$2,0,MIN(B41,IF(D$2=0,J$2,J$2-B41*D$2/12)))</f>
        <v/>
      </c>
      <c r="E41" s="7">
        <f>C41+D41</f>
        <v/>
      </c>
      <c r="F41" s="7">
        <f>B41-D41</f>
        <v/>
      </c>
    </row>
    <row r="42">
      <c r="A42" t="n">
        <v>39</v>
      </c>
      <c r="B42" s="7">
        <f>F41</f>
        <v/>
      </c>
      <c r="C42" s="7">
        <f>B42*D$2/12</f>
        <v/>
      </c>
      <c r="D42" s="7">
        <f>IF(A42&lt;=H$2,0,MIN(B42,IF(D$2=0,J$2,J$2-B42*D$2/12)))</f>
        <v/>
      </c>
      <c r="E42" s="7">
        <f>C42+D42</f>
        <v/>
      </c>
      <c r="F42" s="7">
        <f>B42-D42</f>
        <v/>
      </c>
    </row>
    <row r="43">
      <c r="A43" t="n">
        <v>40</v>
      </c>
      <c r="B43" s="7">
        <f>F42</f>
        <v/>
      </c>
      <c r="C43" s="7">
        <f>B43*D$2/12</f>
        <v/>
      </c>
      <c r="D43" s="7">
        <f>IF(A43&lt;=H$2,0,MIN(B43,IF(D$2=0,J$2,J$2-B43*D$2/12)))</f>
        <v/>
      </c>
      <c r="E43" s="7">
        <f>C43+D43</f>
        <v/>
      </c>
      <c r="F43" s="7">
        <f>B43-D43</f>
        <v/>
      </c>
    </row>
    <row r="44">
      <c r="A44" t="n">
        <v>41</v>
      </c>
      <c r="B44" s="7">
        <f>F43</f>
        <v/>
      </c>
      <c r="C44" s="7">
        <f>B44*D$2/12</f>
        <v/>
      </c>
      <c r="D44" s="7">
        <f>IF(A44&lt;=H$2,0,MIN(B44,IF(D$2=0,J$2,J$2-B44*D$2/12)))</f>
        <v/>
      </c>
      <c r="E44" s="7">
        <f>C44+D44</f>
        <v/>
      </c>
      <c r="F44" s="7">
        <f>B44-D44</f>
        <v/>
      </c>
    </row>
    <row r="45">
      <c r="A45" t="n">
        <v>42</v>
      </c>
      <c r="B45" s="7">
        <f>F44</f>
        <v/>
      </c>
      <c r="C45" s="7">
        <f>B45*D$2/12</f>
        <v/>
      </c>
      <c r="D45" s="7">
        <f>IF(A45&lt;=H$2,0,MIN(B45,IF(D$2=0,J$2,J$2-B45*D$2/12)))</f>
        <v/>
      </c>
      <c r="E45" s="7">
        <f>C45+D45</f>
        <v/>
      </c>
      <c r="F45" s="7">
        <f>B45-D45</f>
        <v/>
      </c>
    </row>
    <row r="46">
      <c r="A46" t="n">
        <v>43</v>
      </c>
      <c r="B46" s="7">
        <f>F45</f>
        <v/>
      </c>
      <c r="C46" s="7">
        <f>B46*D$2/12</f>
        <v/>
      </c>
      <c r="D46" s="7">
        <f>IF(A46&lt;=H$2,0,MIN(B46,IF(D$2=0,J$2,J$2-B46*D$2/12)))</f>
        <v/>
      </c>
      <c r="E46" s="7">
        <f>C46+D46</f>
        <v/>
      </c>
      <c r="F46" s="7">
        <f>B46-D46</f>
        <v/>
      </c>
    </row>
    <row r="47">
      <c r="A47" t="n">
        <v>44</v>
      </c>
      <c r="B47" s="7">
        <f>F46</f>
        <v/>
      </c>
      <c r="C47" s="7">
        <f>B47*D$2/12</f>
        <v/>
      </c>
      <c r="D47" s="7">
        <f>IF(A47&lt;=H$2,0,MIN(B47,IF(D$2=0,J$2,J$2-B47*D$2/12)))</f>
        <v/>
      </c>
      <c r="E47" s="7">
        <f>C47+D47</f>
        <v/>
      </c>
      <c r="F47" s="7">
        <f>B47-D47</f>
        <v/>
      </c>
    </row>
    <row r="48">
      <c r="A48" t="n">
        <v>45</v>
      </c>
      <c r="B48" s="7">
        <f>F47</f>
        <v/>
      </c>
      <c r="C48" s="7">
        <f>B48*D$2/12</f>
        <v/>
      </c>
      <c r="D48" s="7">
        <f>IF(A48&lt;=H$2,0,MIN(B48,IF(D$2=0,J$2,J$2-B48*D$2/12)))</f>
        <v/>
      </c>
      <c r="E48" s="7">
        <f>C48+D48</f>
        <v/>
      </c>
      <c r="F48" s="7">
        <f>B48-D48</f>
        <v/>
      </c>
    </row>
    <row r="49">
      <c r="A49" t="n">
        <v>46</v>
      </c>
      <c r="B49" s="7">
        <f>F48</f>
        <v/>
      </c>
      <c r="C49" s="7">
        <f>B49*D$2/12</f>
        <v/>
      </c>
      <c r="D49" s="7">
        <f>IF(A49&lt;=H$2,0,MIN(B49,IF(D$2=0,J$2,J$2-B49*D$2/12)))</f>
        <v/>
      </c>
      <c r="E49" s="7">
        <f>C49+D49</f>
        <v/>
      </c>
      <c r="F49" s="7">
        <f>B49-D49</f>
        <v/>
      </c>
    </row>
    <row r="50">
      <c r="A50" t="n">
        <v>47</v>
      </c>
      <c r="B50" s="7">
        <f>F49</f>
        <v/>
      </c>
      <c r="C50" s="7">
        <f>B50*D$2/12</f>
        <v/>
      </c>
      <c r="D50" s="7">
        <f>IF(A50&lt;=H$2,0,MIN(B50,IF(D$2=0,J$2,J$2-B50*D$2/12)))</f>
        <v/>
      </c>
      <c r="E50" s="7">
        <f>C50+D50</f>
        <v/>
      </c>
      <c r="F50" s="7">
        <f>B50-D50</f>
        <v/>
      </c>
    </row>
    <row r="51">
      <c r="A51" t="n">
        <v>48</v>
      </c>
      <c r="B51" s="7">
        <f>F50</f>
        <v/>
      </c>
      <c r="C51" s="7">
        <f>B51*D$2/12</f>
        <v/>
      </c>
      <c r="D51" s="7">
        <f>IF(A51&lt;=H$2,0,MIN(B51,IF(D$2=0,J$2,J$2-B51*D$2/12)))</f>
        <v/>
      </c>
      <c r="E51" s="7">
        <f>C51+D51</f>
        <v/>
      </c>
      <c r="F51" s="7">
        <f>B51-D51</f>
        <v/>
      </c>
    </row>
    <row r="52">
      <c r="A52" t="n">
        <v>49</v>
      </c>
      <c r="B52" s="7">
        <f>F51</f>
        <v/>
      </c>
      <c r="C52" s="7">
        <f>B52*D$2/12</f>
        <v/>
      </c>
      <c r="D52" s="7">
        <f>IF(A52&lt;=H$2,0,MIN(B52,IF(D$2=0,J$2,J$2-B52*D$2/12)))</f>
        <v/>
      </c>
      <c r="E52" s="7">
        <f>C52+D52</f>
        <v/>
      </c>
      <c r="F52" s="7">
        <f>B52-D52</f>
        <v/>
      </c>
    </row>
    <row r="53">
      <c r="A53" t="n">
        <v>50</v>
      </c>
      <c r="B53" s="7">
        <f>F52</f>
        <v/>
      </c>
      <c r="C53" s="7">
        <f>B53*D$2/12</f>
        <v/>
      </c>
      <c r="D53" s="7">
        <f>IF(A53&lt;=H$2,0,MIN(B53,IF(D$2=0,J$2,J$2-B53*D$2/12)))</f>
        <v/>
      </c>
      <c r="E53" s="7">
        <f>C53+D53</f>
        <v/>
      </c>
      <c r="F53" s="7">
        <f>B53-D53</f>
        <v/>
      </c>
    </row>
    <row r="54">
      <c r="A54" t="n">
        <v>51</v>
      </c>
      <c r="B54" s="7">
        <f>F53</f>
        <v/>
      </c>
      <c r="C54" s="7">
        <f>B54*D$2/12</f>
        <v/>
      </c>
      <c r="D54" s="7">
        <f>IF(A54&lt;=H$2,0,MIN(B54,IF(D$2=0,J$2,J$2-B54*D$2/12)))</f>
        <v/>
      </c>
      <c r="E54" s="7">
        <f>C54+D54</f>
        <v/>
      </c>
      <c r="F54" s="7">
        <f>B54-D54</f>
        <v/>
      </c>
    </row>
    <row r="55">
      <c r="A55" t="n">
        <v>52</v>
      </c>
      <c r="B55" s="7">
        <f>F54</f>
        <v/>
      </c>
      <c r="C55" s="7">
        <f>B55*D$2/12</f>
        <v/>
      </c>
      <c r="D55" s="7">
        <f>IF(A55&lt;=H$2,0,MIN(B55,IF(D$2=0,J$2,J$2-B55*D$2/12)))</f>
        <v/>
      </c>
      <c r="E55" s="7">
        <f>C55+D55</f>
        <v/>
      </c>
      <c r="F55" s="7">
        <f>B55-D55</f>
        <v/>
      </c>
    </row>
    <row r="56">
      <c r="A56" t="n">
        <v>53</v>
      </c>
      <c r="B56" s="7">
        <f>F55</f>
        <v/>
      </c>
      <c r="C56" s="7">
        <f>B56*D$2/12</f>
        <v/>
      </c>
      <c r="D56" s="7">
        <f>IF(A56&lt;=H$2,0,MIN(B56,IF(D$2=0,J$2,J$2-B56*D$2/12)))</f>
        <v/>
      </c>
      <c r="E56" s="7">
        <f>C56+D56</f>
        <v/>
      </c>
      <c r="F56" s="7">
        <f>B56-D56</f>
        <v/>
      </c>
    </row>
    <row r="57">
      <c r="A57" t="n">
        <v>54</v>
      </c>
      <c r="B57" s="7">
        <f>F56</f>
        <v/>
      </c>
      <c r="C57" s="7">
        <f>B57*D$2/12</f>
        <v/>
      </c>
      <c r="D57" s="7">
        <f>IF(A57&lt;=H$2,0,MIN(B57,IF(D$2=0,J$2,J$2-B57*D$2/12)))</f>
        <v/>
      </c>
      <c r="E57" s="7">
        <f>C57+D57</f>
        <v/>
      </c>
      <c r="F57" s="7">
        <f>B57-D57</f>
        <v/>
      </c>
    </row>
    <row r="58">
      <c r="A58" t="n">
        <v>55</v>
      </c>
      <c r="B58" s="7">
        <f>F57</f>
        <v/>
      </c>
      <c r="C58" s="7">
        <f>B58*D$2/12</f>
        <v/>
      </c>
      <c r="D58" s="7">
        <f>IF(A58&lt;=H$2,0,MIN(B58,IF(D$2=0,J$2,J$2-B58*D$2/12)))</f>
        <v/>
      </c>
      <c r="E58" s="7">
        <f>C58+D58</f>
        <v/>
      </c>
      <c r="F58" s="7">
        <f>B58-D58</f>
        <v/>
      </c>
    </row>
    <row r="59">
      <c r="A59" t="n">
        <v>56</v>
      </c>
      <c r="B59" s="7">
        <f>F58</f>
        <v/>
      </c>
      <c r="C59" s="7">
        <f>B59*D$2/12</f>
        <v/>
      </c>
      <c r="D59" s="7">
        <f>IF(A59&lt;=H$2,0,MIN(B59,IF(D$2=0,J$2,J$2-B59*D$2/12)))</f>
        <v/>
      </c>
      <c r="E59" s="7">
        <f>C59+D59</f>
        <v/>
      </c>
      <c r="F59" s="7">
        <f>B59-D59</f>
        <v/>
      </c>
    </row>
    <row r="60">
      <c r="A60" t="n">
        <v>57</v>
      </c>
      <c r="B60" s="7">
        <f>F59</f>
        <v/>
      </c>
      <c r="C60" s="7">
        <f>B60*D$2/12</f>
        <v/>
      </c>
      <c r="D60" s="7">
        <f>IF(A60&lt;=H$2,0,MIN(B60,IF(D$2=0,J$2,J$2-B60*D$2/12)))</f>
        <v/>
      </c>
      <c r="E60" s="7">
        <f>C60+D60</f>
        <v/>
      </c>
      <c r="F60" s="7">
        <f>B60-D60</f>
        <v/>
      </c>
    </row>
    <row r="61">
      <c r="A61" t="n">
        <v>58</v>
      </c>
      <c r="B61" s="7">
        <f>F60</f>
        <v/>
      </c>
      <c r="C61" s="7">
        <f>B61*D$2/12</f>
        <v/>
      </c>
      <c r="D61" s="7">
        <f>IF(A61&lt;=H$2,0,MIN(B61,IF(D$2=0,J$2,J$2-B61*D$2/12)))</f>
        <v/>
      </c>
      <c r="E61" s="7">
        <f>C61+D61</f>
        <v/>
      </c>
      <c r="F61" s="7">
        <f>B61-D61</f>
        <v/>
      </c>
    </row>
    <row r="62">
      <c r="A62" t="n">
        <v>59</v>
      </c>
      <c r="B62" s="7">
        <f>F61</f>
        <v/>
      </c>
      <c r="C62" s="7">
        <f>B62*D$2/12</f>
        <v/>
      </c>
      <c r="D62" s="7">
        <f>IF(A62&lt;=H$2,0,MIN(B62,IF(D$2=0,J$2,J$2-B62*D$2/12)))</f>
        <v/>
      </c>
      <c r="E62" s="7">
        <f>C62+D62</f>
        <v/>
      </c>
      <c r="F62" s="7">
        <f>B62-D62</f>
        <v/>
      </c>
    </row>
    <row r="63">
      <c r="A63" t="n">
        <v>60</v>
      </c>
      <c r="B63" s="7">
        <f>F62</f>
        <v/>
      </c>
      <c r="C63" s="7">
        <f>B63*D$2/12</f>
        <v/>
      </c>
      <c r="D63" s="7">
        <f>IF(A63&lt;=H$2,0,MIN(B63,IF(D$2=0,J$2,J$2-B63*D$2/12)))</f>
        <v/>
      </c>
      <c r="E63" s="7">
        <f>C63+D63</f>
        <v/>
      </c>
      <c r="F63" s="7">
        <f>B63-D63</f>
        <v/>
      </c>
    </row>
    <row r="64">
      <c r="A64" s="1" t="inlineStr">
        <is>
          <t>Année</t>
        </is>
      </c>
      <c r="B64" s="1" t="inlineStr">
        <is>
          <t>Intérêts</t>
        </is>
      </c>
      <c r="C64" s="1" t="inlineStr">
        <is>
          <t>Capital</t>
        </is>
      </c>
      <c r="D64" s="1" t="inlineStr">
        <is>
          <t>Service</t>
        </is>
      </c>
      <c r="E64" s="1" t="inlineStr">
        <is>
          <t>Solde fin</t>
        </is>
      </c>
    </row>
    <row r="65">
      <c r="A65" t="inlineStr">
        <is>
          <t>An 1</t>
        </is>
      </c>
      <c r="B65" s="7">
        <f>SUM(C4:C15)</f>
        <v/>
      </c>
      <c r="C65" s="7">
        <f>SUM(D4:D15)</f>
        <v/>
      </c>
      <c r="D65" s="7">
        <f>B65+C65</f>
        <v/>
      </c>
      <c r="E65" s="7">
        <f>F15</f>
        <v/>
      </c>
    </row>
    <row r="66">
      <c r="A66" t="inlineStr">
        <is>
          <t>An 2</t>
        </is>
      </c>
      <c r="B66" s="7">
        <f>SUM(C16:C27)</f>
        <v/>
      </c>
      <c r="C66" s="7">
        <f>SUM(D16:D27)</f>
        <v/>
      </c>
      <c r="D66" s="7">
        <f>B66+C66</f>
        <v/>
      </c>
      <c r="E66" s="7">
        <f>F27</f>
        <v/>
      </c>
    </row>
    <row r="67">
      <c r="A67" t="inlineStr">
        <is>
          <t>An 3</t>
        </is>
      </c>
      <c r="B67" s="7">
        <f>SUM(C28:C39)</f>
        <v/>
      </c>
      <c r="C67" s="7">
        <f>SUM(D28:D39)</f>
        <v/>
      </c>
      <c r="D67" s="7">
        <f>B67+C67</f>
        <v/>
      </c>
      <c r="E67" s="7">
        <f>F39</f>
        <v/>
      </c>
    </row>
    <row r="68">
      <c r="A68" t="inlineStr">
        <is>
          <t>An 4</t>
        </is>
      </c>
      <c r="B68" s="7">
        <f>SUM(C40:C51)</f>
        <v/>
      </c>
      <c r="C68" s="7">
        <f>SUM(D40:D51)</f>
        <v/>
      </c>
      <c r="D68" s="7">
        <f>B68+C68</f>
        <v/>
      </c>
      <c r="E68" s="7">
        <f>F51</f>
        <v/>
      </c>
    </row>
    <row r="69">
      <c r="A69" t="inlineStr">
        <is>
          <t>An 5</t>
        </is>
      </c>
      <c r="B69" s="7">
        <f>SUM(C52:C63)</f>
        <v/>
      </c>
      <c r="C69" s="7">
        <f>SUM(D52:D63)</f>
        <v/>
      </c>
      <c r="D69" s="7">
        <f>B69+C69</f>
        <v/>
      </c>
      <c r="E69" s="7">
        <f>F63</f>
        <v/>
      </c>
    </row>
    <row r="71">
      <c r="A71" s="2" t="inlineStr">
        <is>
          <t>DEC – contribution remboursable sans intérêt</t>
        </is>
      </c>
    </row>
    <row r="72">
      <c r="A72" t="inlineStr">
        <is>
          <t>Montant</t>
        </is>
      </c>
      <c r="B72" s="7">
        <f>Investissement!B15</f>
        <v/>
      </c>
      <c r="C72" t="inlineStr">
        <is>
          <t>Taux</t>
        </is>
      </c>
      <c r="D72" s="8">
        <f>Investissement!C15</f>
        <v/>
      </c>
      <c r="E72" t="inlineStr">
        <is>
          <t>Amort. (ans)</t>
        </is>
      </c>
      <c r="F72">
        <f>Investissement!D15</f>
        <v/>
      </c>
      <c r="G72" t="inlineStr">
        <is>
          <t>Moratoire (mois)</t>
        </is>
      </c>
      <c r="H72">
        <f>Investissement!E15</f>
        <v/>
      </c>
      <c r="I72" t="inlineStr">
        <is>
          <t>Paiement mensuel</t>
        </is>
      </c>
      <c r="J72" s="7">
        <f>IF(D72=0,B72/(F72*12),PMT(D72/12,F72*12,-B72))</f>
        <v/>
      </c>
    </row>
    <row r="73">
      <c r="A73" s="1" t="inlineStr">
        <is>
          <t>Mois</t>
        </is>
      </c>
      <c r="B73" s="1" t="inlineStr">
        <is>
          <t>Solde début</t>
        </is>
      </c>
      <c r="C73" s="1" t="inlineStr">
        <is>
          <t>Intérêts</t>
        </is>
      </c>
      <c r="D73" s="1" t="inlineStr">
        <is>
          <t>Capital</t>
        </is>
      </c>
      <c r="E73" s="1" t="inlineStr">
        <is>
          <t>Paiement</t>
        </is>
      </c>
      <c r="F73" s="1" t="inlineStr">
        <is>
          <t>Solde fin</t>
        </is>
      </c>
    </row>
    <row r="74">
      <c r="A74" t="n">
        <v>1</v>
      </c>
      <c r="B74" s="7">
        <f>B72</f>
        <v/>
      </c>
      <c r="C74" s="7">
        <f>B74*D$72/12</f>
        <v/>
      </c>
      <c r="D74" s="7">
        <f>IF(A74&lt;=H$72,0,MIN(B74,IF(D$72=0,J$72,J$72-B74*D$72/12)))</f>
        <v/>
      </c>
      <c r="E74" s="7">
        <f>C74+D74</f>
        <v/>
      </c>
      <c r="F74" s="7">
        <f>B74-D74</f>
        <v/>
      </c>
    </row>
    <row r="75">
      <c r="A75" t="n">
        <v>2</v>
      </c>
      <c r="B75" s="7">
        <f>F74</f>
        <v/>
      </c>
      <c r="C75" s="7">
        <f>B75*D$72/12</f>
        <v/>
      </c>
      <c r="D75" s="7">
        <f>IF(A75&lt;=H$72,0,MIN(B75,IF(D$72=0,J$72,J$72-B75*D$72/12)))</f>
        <v/>
      </c>
      <c r="E75" s="7">
        <f>C75+D75</f>
        <v/>
      </c>
      <c r="F75" s="7">
        <f>B75-D75</f>
        <v/>
      </c>
    </row>
    <row r="76">
      <c r="A76" t="n">
        <v>3</v>
      </c>
      <c r="B76" s="7">
        <f>F75</f>
        <v/>
      </c>
      <c r="C76" s="7">
        <f>B76*D$72/12</f>
        <v/>
      </c>
      <c r="D76" s="7">
        <f>IF(A76&lt;=H$72,0,MIN(B76,IF(D$72=0,J$72,J$72-B76*D$72/12)))</f>
        <v/>
      </c>
      <c r="E76" s="7">
        <f>C76+D76</f>
        <v/>
      </c>
      <c r="F76" s="7">
        <f>B76-D76</f>
        <v/>
      </c>
    </row>
    <row r="77">
      <c r="A77" t="n">
        <v>4</v>
      </c>
      <c r="B77" s="7">
        <f>F76</f>
        <v/>
      </c>
      <c r="C77" s="7">
        <f>B77*D$72/12</f>
        <v/>
      </c>
      <c r="D77" s="7">
        <f>IF(A77&lt;=H$72,0,MIN(B77,IF(D$72=0,J$72,J$72-B77*D$72/12)))</f>
        <v/>
      </c>
      <c r="E77" s="7">
        <f>C77+D77</f>
        <v/>
      </c>
      <c r="F77" s="7">
        <f>B77-D77</f>
        <v/>
      </c>
    </row>
    <row r="78">
      <c r="A78" t="n">
        <v>5</v>
      </c>
      <c r="B78" s="7">
        <f>F77</f>
        <v/>
      </c>
      <c r="C78" s="7">
        <f>B78*D$72/12</f>
        <v/>
      </c>
      <c r="D78" s="7">
        <f>IF(A78&lt;=H$72,0,MIN(B78,IF(D$72=0,J$72,J$72-B78*D$72/12)))</f>
        <v/>
      </c>
      <c r="E78" s="7">
        <f>C78+D78</f>
        <v/>
      </c>
      <c r="F78" s="7">
        <f>B78-D78</f>
        <v/>
      </c>
    </row>
    <row r="79">
      <c r="A79" t="n">
        <v>6</v>
      </c>
      <c r="B79" s="7">
        <f>F78</f>
        <v/>
      </c>
      <c r="C79" s="7">
        <f>B79*D$72/12</f>
        <v/>
      </c>
      <c r="D79" s="7">
        <f>IF(A79&lt;=H$72,0,MIN(B79,IF(D$72=0,J$72,J$72-B79*D$72/12)))</f>
        <v/>
      </c>
      <c r="E79" s="7">
        <f>C79+D79</f>
        <v/>
      </c>
      <c r="F79" s="7">
        <f>B79-D79</f>
        <v/>
      </c>
    </row>
    <row r="80">
      <c r="A80" t="n">
        <v>7</v>
      </c>
      <c r="B80" s="7">
        <f>F79</f>
        <v/>
      </c>
      <c r="C80" s="7">
        <f>B80*D$72/12</f>
        <v/>
      </c>
      <c r="D80" s="7">
        <f>IF(A80&lt;=H$72,0,MIN(B80,IF(D$72=0,J$72,J$72-B80*D$72/12)))</f>
        <v/>
      </c>
      <c r="E80" s="7">
        <f>C80+D80</f>
        <v/>
      </c>
      <c r="F80" s="7">
        <f>B80-D80</f>
        <v/>
      </c>
    </row>
    <row r="81">
      <c r="A81" t="n">
        <v>8</v>
      </c>
      <c r="B81" s="7">
        <f>F80</f>
        <v/>
      </c>
      <c r="C81" s="7">
        <f>B81*D$72/12</f>
        <v/>
      </c>
      <c r="D81" s="7">
        <f>IF(A81&lt;=H$72,0,MIN(B81,IF(D$72=0,J$72,J$72-B81*D$72/12)))</f>
        <v/>
      </c>
      <c r="E81" s="7">
        <f>C81+D81</f>
        <v/>
      </c>
      <c r="F81" s="7">
        <f>B81-D81</f>
        <v/>
      </c>
    </row>
    <row r="82">
      <c r="A82" t="n">
        <v>9</v>
      </c>
      <c r="B82" s="7">
        <f>F81</f>
        <v/>
      </c>
      <c r="C82" s="7">
        <f>B82*D$72/12</f>
        <v/>
      </c>
      <c r="D82" s="7">
        <f>IF(A82&lt;=H$72,0,MIN(B82,IF(D$72=0,J$72,J$72-B82*D$72/12)))</f>
        <v/>
      </c>
      <c r="E82" s="7">
        <f>C82+D82</f>
        <v/>
      </c>
      <c r="F82" s="7">
        <f>B82-D82</f>
        <v/>
      </c>
    </row>
    <row r="83">
      <c r="A83" t="n">
        <v>10</v>
      </c>
      <c r="B83" s="7">
        <f>F82</f>
        <v/>
      </c>
      <c r="C83" s="7">
        <f>B83*D$72/12</f>
        <v/>
      </c>
      <c r="D83" s="7">
        <f>IF(A83&lt;=H$72,0,MIN(B83,IF(D$72=0,J$72,J$72-B83*D$72/12)))</f>
        <v/>
      </c>
      <c r="E83" s="7">
        <f>C83+D83</f>
        <v/>
      </c>
      <c r="F83" s="7">
        <f>B83-D83</f>
        <v/>
      </c>
    </row>
    <row r="84">
      <c r="A84" t="n">
        <v>11</v>
      </c>
      <c r="B84" s="7">
        <f>F83</f>
        <v/>
      </c>
      <c r="C84" s="7">
        <f>B84*D$72/12</f>
        <v/>
      </c>
      <c r="D84" s="7">
        <f>IF(A84&lt;=H$72,0,MIN(B84,IF(D$72=0,J$72,J$72-B84*D$72/12)))</f>
        <v/>
      </c>
      <c r="E84" s="7">
        <f>C84+D84</f>
        <v/>
      </c>
      <c r="F84" s="7">
        <f>B84-D84</f>
        <v/>
      </c>
    </row>
    <row r="85">
      <c r="A85" t="n">
        <v>12</v>
      </c>
      <c r="B85" s="7">
        <f>F84</f>
        <v/>
      </c>
      <c r="C85" s="7">
        <f>B85*D$72/12</f>
        <v/>
      </c>
      <c r="D85" s="7">
        <f>IF(A85&lt;=H$72,0,MIN(B85,IF(D$72=0,J$72,J$72-B85*D$72/12)))</f>
        <v/>
      </c>
      <c r="E85" s="7">
        <f>C85+D85</f>
        <v/>
      </c>
      <c r="F85" s="7">
        <f>B85-D85</f>
        <v/>
      </c>
    </row>
    <row r="86">
      <c r="A86" t="n">
        <v>13</v>
      </c>
      <c r="B86" s="7">
        <f>F85</f>
        <v/>
      </c>
      <c r="C86" s="7">
        <f>B86*D$72/12</f>
        <v/>
      </c>
      <c r="D86" s="7">
        <f>IF(A86&lt;=H$72,0,MIN(B86,IF(D$72=0,J$72,J$72-B86*D$72/12)))</f>
        <v/>
      </c>
      <c r="E86" s="7">
        <f>C86+D86</f>
        <v/>
      </c>
      <c r="F86" s="7">
        <f>B86-D86</f>
        <v/>
      </c>
    </row>
    <row r="87">
      <c r="A87" t="n">
        <v>14</v>
      </c>
      <c r="B87" s="7">
        <f>F86</f>
        <v/>
      </c>
      <c r="C87" s="7">
        <f>B87*D$72/12</f>
        <v/>
      </c>
      <c r="D87" s="7">
        <f>IF(A87&lt;=H$72,0,MIN(B87,IF(D$72=0,J$72,J$72-B87*D$72/12)))</f>
        <v/>
      </c>
      <c r="E87" s="7">
        <f>C87+D87</f>
        <v/>
      </c>
      <c r="F87" s="7">
        <f>B87-D87</f>
        <v/>
      </c>
    </row>
    <row r="88">
      <c r="A88" t="n">
        <v>15</v>
      </c>
      <c r="B88" s="7">
        <f>F87</f>
        <v/>
      </c>
      <c r="C88" s="7">
        <f>B88*D$72/12</f>
        <v/>
      </c>
      <c r="D88" s="7">
        <f>IF(A88&lt;=H$72,0,MIN(B88,IF(D$72=0,J$72,J$72-B88*D$72/12)))</f>
        <v/>
      </c>
      <c r="E88" s="7">
        <f>C88+D88</f>
        <v/>
      </c>
      <c r="F88" s="7">
        <f>B88-D88</f>
        <v/>
      </c>
    </row>
    <row r="89">
      <c r="A89" t="n">
        <v>16</v>
      </c>
      <c r="B89" s="7">
        <f>F88</f>
        <v/>
      </c>
      <c r="C89" s="7">
        <f>B89*D$72/12</f>
        <v/>
      </c>
      <c r="D89" s="7">
        <f>IF(A89&lt;=H$72,0,MIN(B89,IF(D$72=0,J$72,J$72-B89*D$72/12)))</f>
        <v/>
      </c>
      <c r="E89" s="7">
        <f>C89+D89</f>
        <v/>
      </c>
      <c r="F89" s="7">
        <f>B89-D89</f>
        <v/>
      </c>
    </row>
    <row r="90">
      <c r="A90" t="n">
        <v>17</v>
      </c>
      <c r="B90" s="7">
        <f>F89</f>
        <v/>
      </c>
      <c r="C90" s="7">
        <f>B90*D$72/12</f>
        <v/>
      </c>
      <c r="D90" s="7">
        <f>IF(A90&lt;=H$72,0,MIN(B90,IF(D$72=0,J$72,J$72-B90*D$72/12)))</f>
        <v/>
      </c>
      <c r="E90" s="7">
        <f>C90+D90</f>
        <v/>
      </c>
      <c r="F90" s="7">
        <f>B90-D90</f>
        <v/>
      </c>
    </row>
    <row r="91">
      <c r="A91" t="n">
        <v>18</v>
      </c>
      <c r="B91" s="7">
        <f>F90</f>
        <v/>
      </c>
      <c r="C91" s="7">
        <f>B91*D$72/12</f>
        <v/>
      </c>
      <c r="D91" s="7">
        <f>IF(A91&lt;=H$72,0,MIN(B91,IF(D$72=0,J$72,J$72-B91*D$72/12)))</f>
        <v/>
      </c>
      <c r="E91" s="7">
        <f>C91+D91</f>
        <v/>
      </c>
      <c r="F91" s="7">
        <f>B91-D91</f>
        <v/>
      </c>
    </row>
    <row r="92">
      <c r="A92" t="n">
        <v>19</v>
      </c>
      <c r="B92" s="7">
        <f>F91</f>
        <v/>
      </c>
      <c r="C92" s="7">
        <f>B92*D$72/12</f>
        <v/>
      </c>
      <c r="D92" s="7">
        <f>IF(A92&lt;=H$72,0,MIN(B92,IF(D$72=0,J$72,J$72-B92*D$72/12)))</f>
        <v/>
      </c>
      <c r="E92" s="7">
        <f>C92+D92</f>
        <v/>
      </c>
      <c r="F92" s="7">
        <f>B92-D92</f>
        <v/>
      </c>
    </row>
    <row r="93">
      <c r="A93" t="n">
        <v>20</v>
      </c>
      <c r="B93" s="7">
        <f>F92</f>
        <v/>
      </c>
      <c r="C93" s="7">
        <f>B93*D$72/12</f>
        <v/>
      </c>
      <c r="D93" s="7">
        <f>IF(A93&lt;=H$72,0,MIN(B93,IF(D$72=0,J$72,J$72-B93*D$72/12)))</f>
        <v/>
      </c>
      <c r="E93" s="7">
        <f>C93+D93</f>
        <v/>
      </c>
      <c r="F93" s="7">
        <f>B93-D93</f>
        <v/>
      </c>
    </row>
    <row r="94">
      <c r="A94" t="n">
        <v>21</v>
      </c>
      <c r="B94" s="7">
        <f>F93</f>
        <v/>
      </c>
      <c r="C94" s="7">
        <f>B94*D$72/12</f>
        <v/>
      </c>
      <c r="D94" s="7">
        <f>IF(A94&lt;=H$72,0,MIN(B94,IF(D$72=0,J$72,J$72-B94*D$72/12)))</f>
        <v/>
      </c>
      <c r="E94" s="7">
        <f>C94+D94</f>
        <v/>
      </c>
      <c r="F94" s="7">
        <f>B94-D94</f>
        <v/>
      </c>
    </row>
    <row r="95">
      <c r="A95" t="n">
        <v>22</v>
      </c>
      <c r="B95" s="7">
        <f>F94</f>
        <v/>
      </c>
      <c r="C95" s="7">
        <f>B95*D$72/12</f>
        <v/>
      </c>
      <c r="D95" s="7">
        <f>IF(A95&lt;=H$72,0,MIN(B95,IF(D$72=0,J$72,J$72-B95*D$72/12)))</f>
        <v/>
      </c>
      <c r="E95" s="7">
        <f>C95+D95</f>
        <v/>
      </c>
      <c r="F95" s="7">
        <f>B95-D95</f>
        <v/>
      </c>
    </row>
    <row r="96">
      <c r="A96" t="n">
        <v>23</v>
      </c>
      <c r="B96" s="7">
        <f>F95</f>
        <v/>
      </c>
      <c r="C96" s="7">
        <f>B96*D$72/12</f>
        <v/>
      </c>
      <c r="D96" s="7">
        <f>IF(A96&lt;=H$72,0,MIN(B96,IF(D$72=0,J$72,J$72-B96*D$72/12)))</f>
        <v/>
      </c>
      <c r="E96" s="7">
        <f>C96+D96</f>
        <v/>
      </c>
      <c r="F96" s="7">
        <f>B96-D96</f>
        <v/>
      </c>
    </row>
    <row r="97">
      <c r="A97" t="n">
        <v>24</v>
      </c>
      <c r="B97" s="7">
        <f>F96</f>
        <v/>
      </c>
      <c r="C97" s="7">
        <f>B97*D$72/12</f>
        <v/>
      </c>
      <c r="D97" s="7">
        <f>IF(A97&lt;=H$72,0,MIN(B97,IF(D$72=0,J$72,J$72-B97*D$72/12)))</f>
        <v/>
      </c>
      <c r="E97" s="7">
        <f>C97+D97</f>
        <v/>
      </c>
      <c r="F97" s="7">
        <f>B97-D97</f>
        <v/>
      </c>
    </row>
    <row r="98">
      <c r="A98" t="n">
        <v>25</v>
      </c>
      <c r="B98" s="7">
        <f>F97</f>
        <v/>
      </c>
      <c r="C98" s="7">
        <f>B98*D$72/12</f>
        <v/>
      </c>
      <c r="D98" s="7">
        <f>IF(A98&lt;=H$72,0,MIN(B98,IF(D$72=0,J$72,J$72-B98*D$72/12)))</f>
        <v/>
      </c>
      <c r="E98" s="7">
        <f>C98+D98</f>
        <v/>
      </c>
      <c r="F98" s="7">
        <f>B98-D98</f>
        <v/>
      </c>
    </row>
    <row r="99">
      <c r="A99" t="n">
        <v>26</v>
      </c>
      <c r="B99" s="7">
        <f>F98</f>
        <v/>
      </c>
      <c r="C99" s="7">
        <f>B99*D$72/12</f>
        <v/>
      </c>
      <c r="D99" s="7">
        <f>IF(A99&lt;=H$72,0,MIN(B99,IF(D$72=0,J$72,J$72-B99*D$72/12)))</f>
        <v/>
      </c>
      <c r="E99" s="7">
        <f>C99+D99</f>
        <v/>
      </c>
      <c r="F99" s="7">
        <f>B99-D99</f>
        <v/>
      </c>
    </row>
    <row r="100">
      <c r="A100" t="n">
        <v>27</v>
      </c>
      <c r="B100" s="7">
        <f>F99</f>
        <v/>
      </c>
      <c r="C100" s="7">
        <f>B100*D$72/12</f>
        <v/>
      </c>
      <c r="D100" s="7">
        <f>IF(A100&lt;=H$72,0,MIN(B100,IF(D$72=0,J$72,J$72-B100*D$72/12)))</f>
        <v/>
      </c>
      <c r="E100" s="7">
        <f>C100+D100</f>
        <v/>
      </c>
      <c r="F100" s="7">
        <f>B100-D100</f>
        <v/>
      </c>
    </row>
    <row r="101">
      <c r="A101" t="n">
        <v>28</v>
      </c>
      <c r="B101" s="7">
        <f>F100</f>
        <v/>
      </c>
      <c r="C101" s="7">
        <f>B101*D$72/12</f>
        <v/>
      </c>
      <c r="D101" s="7">
        <f>IF(A101&lt;=H$72,0,MIN(B101,IF(D$72=0,J$72,J$72-B101*D$72/12)))</f>
        <v/>
      </c>
      <c r="E101" s="7">
        <f>C101+D101</f>
        <v/>
      </c>
      <c r="F101" s="7">
        <f>B101-D101</f>
        <v/>
      </c>
    </row>
    <row r="102">
      <c r="A102" t="n">
        <v>29</v>
      </c>
      <c r="B102" s="7">
        <f>F101</f>
        <v/>
      </c>
      <c r="C102" s="7">
        <f>B102*D$72/12</f>
        <v/>
      </c>
      <c r="D102" s="7">
        <f>IF(A102&lt;=H$72,0,MIN(B102,IF(D$72=0,J$72,J$72-B102*D$72/12)))</f>
        <v/>
      </c>
      <c r="E102" s="7">
        <f>C102+D102</f>
        <v/>
      </c>
      <c r="F102" s="7">
        <f>B102-D102</f>
        <v/>
      </c>
    </row>
    <row r="103">
      <c r="A103" t="n">
        <v>30</v>
      </c>
      <c r="B103" s="7">
        <f>F102</f>
        <v/>
      </c>
      <c r="C103" s="7">
        <f>B103*D$72/12</f>
        <v/>
      </c>
      <c r="D103" s="7">
        <f>IF(A103&lt;=H$72,0,MIN(B103,IF(D$72=0,J$72,J$72-B103*D$72/12)))</f>
        <v/>
      </c>
      <c r="E103" s="7">
        <f>C103+D103</f>
        <v/>
      </c>
      <c r="F103" s="7">
        <f>B103-D103</f>
        <v/>
      </c>
    </row>
    <row r="104">
      <c r="A104" t="n">
        <v>31</v>
      </c>
      <c r="B104" s="7">
        <f>F103</f>
        <v/>
      </c>
      <c r="C104" s="7">
        <f>B104*D$72/12</f>
        <v/>
      </c>
      <c r="D104" s="7">
        <f>IF(A104&lt;=H$72,0,MIN(B104,IF(D$72=0,J$72,J$72-B104*D$72/12)))</f>
        <v/>
      </c>
      <c r="E104" s="7">
        <f>C104+D104</f>
        <v/>
      </c>
      <c r="F104" s="7">
        <f>B104-D104</f>
        <v/>
      </c>
    </row>
    <row r="105">
      <c r="A105" t="n">
        <v>32</v>
      </c>
      <c r="B105" s="7">
        <f>F104</f>
        <v/>
      </c>
      <c r="C105" s="7">
        <f>B105*D$72/12</f>
        <v/>
      </c>
      <c r="D105" s="7">
        <f>IF(A105&lt;=H$72,0,MIN(B105,IF(D$72=0,J$72,J$72-B105*D$72/12)))</f>
        <v/>
      </c>
      <c r="E105" s="7">
        <f>C105+D105</f>
        <v/>
      </c>
      <c r="F105" s="7">
        <f>B105-D105</f>
        <v/>
      </c>
    </row>
    <row r="106">
      <c r="A106" t="n">
        <v>33</v>
      </c>
      <c r="B106" s="7">
        <f>F105</f>
        <v/>
      </c>
      <c r="C106" s="7">
        <f>B106*D$72/12</f>
        <v/>
      </c>
      <c r="D106" s="7">
        <f>IF(A106&lt;=H$72,0,MIN(B106,IF(D$72=0,J$72,J$72-B106*D$72/12)))</f>
        <v/>
      </c>
      <c r="E106" s="7">
        <f>C106+D106</f>
        <v/>
      </c>
      <c r="F106" s="7">
        <f>B106-D106</f>
        <v/>
      </c>
    </row>
    <row r="107">
      <c r="A107" t="n">
        <v>34</v>
      </c>
      <c r="B107" s="7">
        <f>F106</f>
        <v/>
      </c>
      <c r="C107" s="7">
        <f>B107*D$72/12</f>
        <v/>
      </c>
      <c r="D107" s="7">
        <f>IF(A107&lt;=H$72,0,MIN(B107,IF(D$72=0,J$72,J$72-B107*D$72/12)))</f>
        <v/>
      </c>
      <c r="E107" s="7">
        <f>C107+D107</f>
        <v/>
      </c>
      <c r="F107" s="7">
        <f>B107-D107</f>
        <v/>
      </c>
    </row>
    <row r="108">
      <c r="A108" t="n">
        <v>35</v>
      </c>
      <c r="B108" s="7">
        <f>F107</f>
        <v/>
      </c>
      <c r="C108" s="7">
        <f>B108*D$72/12</f>
        <v/>
      </c>
      <c r="D108" s="7">
        <f>IF(A108&lt;=H$72,0,MIN(B108,IF(D$72=0,J$72,J$72-B108*D$72/12)))</f>
        <v/>
      </c>
      <c r="E108" s="7">
        <f>C108+D108</f>
        <v/>
      </c>
      <c r="F108" s="7">
        <f>B108-D108</f>
        <v/>
      </c>
    </row>
    <row r="109">
      <c r="A109" t="n">
        <v>36</v>
      </c>
      <c r="B109" s="7">
        <f>F108</f>
        <v/>
      </c>
      <c r="C109" s="7">
        <f>B109*D$72/12</f>
        <v/>
      </c>
      <c r="D109" s="7">
        <f>IF(A109&lt;=H$72,0,MIN(B109,IF(D$72=0,J$72,J$72-B109*D$72/12)))</f>
        <v/>
      </c>
      <c r="E109" s="7">
        <f>C109+D109</f>
        <v/>
      </c>
      <c r="F109" s="7">
        <f>B109-D109</f>
        <v/>
      </c>
    </row>
    <row r="110">
      <c r="A110" t="n">
        <v>37</v>
      </c>
      <c r="B110" s="7">
        <f>F109</f>
        <v/>
      </c>
      <c r="C110" s="7">
        <f>B110*D$72/12</f>
        <v/>
      </c>
      <c r="D110" s="7">
        <f>IF(A110&lt;=H$72,0,MIN(B110,IF(D$72=0,J$72,J$72-B110*D$72/12)))</f>
        <v/>
      </c>
      <c r="E110" s="7">
        <f>C110+D110</f>
        <v/>
      </c>
      <c r="F110" s="7">
        <f>B110-D110</f>
        <v/>
      </c>
    </row>
    <row r="111">
      <c r="A111" t="n">
        <v>38</v>
      </c>
      <c r="B111" s="7">
        <f>F110</f>
        <v/>
      </c>
      <c r="C111" s="7">
        <f>B111*D$72/12</f>
        <v/>
      </c>
      <c r="D111" s="7">
        <f>IF(A111&lt;=H$72,0,MIN(B111,IF(D$72=0,J$72,J$72-B111*D$72/12)))</f>
        <v/>
      </c>
      <c r="E111" s="7">
        <f>C111+D111</f>
        <v/>
      </c>
      <c r="F111" s="7">
        <f>B111-D111</f>
        <v/>
      </c>
    </row>
    <row r="112">
      <c r="A112" t="n">
        <v>39</v>
      </c>
      <c r="B112" s="7">
        <f>F111</f>
        <v/>
      </c>
      <c r="C112" s="7">
        <f>B112*D$72/12</f>
        <v/>
      </c>
      <c r="D112" s="7">
        <f>IF(A112&lt;=H$72,0,MIN(B112,IF(D$72=0,J$72,J$72-B112*D$72/12)))</f>
        <v/>
      </c>
      <c r="E112" s="7">
        <f>C112+D112</f>
        <v/>
      </c>
      <c r="F112" s="7">
        <f>B112-D112</f>
        <v/>
      </c>
    </row>
    <row r="113">
      <c r="A113" t="n">
        <v>40</v>
      </c>
      <c r="B113" s="7">
        <f>F112</f>
        <v/>
      </c>
      <c r="C113" s="7">
        <f>B113*D$72/12</f>
        <v/>
      </c>
      <c r="D113" s="7">
        <f>IF(A113&lt;=H$72,0,MIN(B113,IF(D$72=0,J$72,J$72-B113*D$72/12)))</f>
        <v/>
      </c>
      <c r="E113" s="7">
        <f>C113+D113</f>
        <v/>
      </c>
      <c r="F113" s="7">
        <f>B113-D113</f>
        <v/>
      </c>
    </row>
    <row r="114">
      <c r="A114" t="n">
        <v>41</v>
      </c>
      <c r="B114" s="7">
        <f>F113</f>
        <v/>
      </c>
      <c r="C114" s="7">
        <f>B114*D$72/12</f>
        <v/>
      </c>
      <c r="D114" s="7">
        <f>IF(A114&lt;=H$72,0,MIN(B114,IF(D$72=0,J$72,J$72-B114*D$72/12)))</f>
        <v/>
      </c>
      <c r="E114" s="7">
        <f>C114+D114</f>
        <v/>
      </c>
      <c r="F114" s="7">
        <f>B114-D114</f>
        <v/>
      </c>
    </row>
    <row r="115">
      <c r="A115" t="n">
        <v>42</v>
      </c>
      <c r="B115" s="7">
        <f>F114</f>
        <v/>
      </c>
      <c r="C115" s="7">
        <f>B115*D$72/12</f>
        <v/>
      </c>
      <c r="D115" s="7">
        <f>IF(A115&lt;=H$72,0,MIN(B115,IF(D$72=0,J$72,J$72-B115*D$72/12)))</f>
        <v/>
      </c>
      <c r="E115" s="7">
        <f>C115+D115</f>
        <v/>
      </c>
      <c r="F115" s="7">
        <f>B115-D115</f>
        <v/>
      </c>
    </row>
    <row r="116">
      <c r="A116" t="n">
        <v>43</v>
      </c>
      <c r="B116" s="7">
        <f>F115</f>
        <v/>
      </c>
      <c r="C116" s="7">
        <f>B116*D$72/12</f>
        <v/>
      </c>
      <c r="D116" s="7">
        <f>IF(A116&lt;=H$72,0,MIN(B116,IF(D$72=0,J$72,J$72-B116*D$72/12)))</f>
        <v/>
      </c>
      <c r="E116" s="7">
        <f>C116+D116</f>
        <v/>
      </c>
      <c r="F116" s="7">
        <f>B116-D116</f>
        <v/>
      </c>
    </row>
    <row r="117">
      <c r="A117" t="n">
        <v>44</v>
      </c>
      <c r="B117" s="7">
        <f>F116</f>
        <v/>
      </c>
      <c r="C117" s="7">
        <f>B117*D$72/12</f>
        <v/>
      </c>
      <c r="D117" s="7">
        <f>IF(A117&lt;=H$72,0,MIN(B117,IF(D$72=0,J$72,J$72-B117*D$72/12)))</f>
        <v/>
      </c>
      <c r="E117" s="7">
        <f>C117+D117</f>
        <v/>
      </c>
      <c r="F117" s="7">
        <f>B117-D117</f>
        <v/>
      </c>
    </row>
    <row r="118">
      <c r="A118" t="n">
        <v>45</v>
      </c>
      <c r="B118" s="7">
        <f>F117</f>
        <v/>
      </c>
      <c r="C118" s="7">
        <f>B118*D$72/12</f>
        <v/>
      </c>
      <c r="D118" s="7">
        <f>IF(A118&lt;=H$72,0,MIN(B118,IF(D$72=0,J$72,J$72-B118*D$72/12)))</f>
        <v/>
      </c>
      <c r="E118" s="7">
        <f>C118+D118</f>
        <v/>
      </c>
      <c r="F118" s="7">
        <f>B118-D118</f>
        <v/>
      </c>
    </row>
    <row r="119">
      <c r="A119" t="n">
        <v>46</v>
      </c>
      <c r="B119" s="7">
        <f>F118</f>
        <v/>
      </c>
      <c r="C119" s="7">
        <f>B119*D$72/12</f>
        <v/>
      </c>
      <c r="D119" s="7">
        <f>IF(A119&lt;=H$72,0,MIN(B119,IF(D$72=0,J$72,J$72-B119*D$72/12)))</f>
        <v/>
      </c>
      <c r="E119" s="7">
        <f>C119+D119</f>
        <v/>
      </c>
      <c r="F119" s="7">
        <f>B119-D119</f>
        <v/>
      </c>
    </row>
    <row r="120">
      <c r="A120" t="n">
        <v>47</v>
      </c>
      <c r="B120" s="7">
        <f>F119</f>
        <v/>
      </c>
      <c r="C120" s="7">
        <f>B120*D$72/12</f>
        <v/>
      </c>
      <c r="D120" s="7">
        <f>IF(A120&lt;=H$72,0,MIN(B120,IF(D$72=0,J$72,J$72-B120*D$72/12)))</f>
        <v/>
      </c>
      <c r="E120" s="7">
        <f>C120+D120</f>
        <v/>
      </c>
      <c r="F120" s="7">
        <f>B120-D120</f>
        <v/>
      </c>
    </row>
    <row r="121">
      <c r="A121" t="n">
        <v>48</v>
      </c>
      <c r="B121" s="7">
        <f>F120</f>
        <v/>
      </c>
      <c r="C121" s="7">
        <f>B121*D$72/12</f>
        <v/>
      </c>
      <c r="D121" s="7">
        <f>IF(A121&lt;=H$72,0,MIN(B121,IF(D$72=0,J$72,J$72-B121*D$72/12)))</f>
        <v/>
      </c>
      <c r="E121" s="7">
        <f>C121+D121</f>
        <v/>
      </c>
      <c r="F121" s="7">
        <f>B121-D121</f>
        <v/>
      </c>
    </row>
    <row r="122">
      <c r="A122" t="n">
        <v>49</v>
      </c>
      <c r="B122" s="7">
        <f>F121</f>
        <v/>
      </c>
      <c r="C122" s="7">
        <f>B122*D$72/12</f>
        <v/>
      </c>
      <c r="D122" s="7">
        <f>IF(A122&lt;=H$72,0,MIN(B122,IF(D$72=0,J$72,J$72-B122*D$72/12)))</f>
        <v/>
      </c>
      <c r="E122" s="7">
        <f>C122+D122</f>
        <v/>
      </c>
      <c r="F122" s="7">
        <f>B122-D122</f>
        <v/>
      </c>
    </row>
    <row r="123">
      <c r="A123" t="n">
        <v>50</v>
      </c>
      <c r="B123" s="7">
        <f>F122</f>
        <v/>
      </c>
      <c r="C123" s="7">
        <f>B123*D$72/12</f>
        <v/>
      </c>
      <c r="D123" s="7">
        <f>IF(A123&lt;=H$72,0,MIN(B123,IF(D$72=0,J$72,J$72-B123*D$72/12)))</f>
        <v/>
      </c>
      <c r="E123" s="7">
        <f>C123+D123</f>
        <v/>
      </c>
      <c r="F123" s="7">
        <f>B123-D123</f>
        <v/>
      </c>
    </row>
    <row r="124">
      <c r="A124" t="n">
        <v>51</v>
      </c>
      <c r="B124" s="7">
        <f>F123</f>
        <v/>
      </c>
      <c r="C124" s="7">
        <f>B124*D$72/12</f>
        <v/>
      </c>
      <c r="D124" s="7">
        <f>IF(A124&lt;=H$72,0,MIN(B124,IF(D$72=0,J$72,J$72-B124*D$72/12)))</f>
        <v/>
      </c>
      <c r="E124" s="7">
        <f>C124+D124</f>
        <v/>
      </c>
      <c r="F124" s="7">
        <f>B124-D124</f>
        <v/>
      </c>
    </row>
    <row r="125">
      <c r="A125" t="n">
        <v>52</v>
      </c>
      <c r="B125" s="7">
        <f>F124</f>
        <v/>
      </c>
      <c r="C125" s="7">
        <f>B125*D$72/12</f>
        <v/>
      </c>
      <c r="D125" s="7">
        <f>IF(A125&lt;=H$72,0,MIN(B125,IF(D$72=0,J$72,J$72-B125*D$72/12)))</f>
        <v/>
      </c>
      <c r="E125" s="7">
        <f>C125+D125</f>
        <v/>
      </c>
      <c r="F125" s="7">
        <f>B125-D125</f>
        <v/>
      </c>
    </row>
    <row r="126">
      <c r="A126" t="n">
        <v>53</v>
      </c>
      <c r="B126" s="7">
        <f>F125</f>
        <v/>
      </c>
      <c r="C126" s="7">
        <f>B126*D$72/12</f>
        <v/>
      </c>
      <c r="D126" s="7">
        <f>IF(A126&lt;=H$72,0,MIN(B126,IF(D$72=0,J$72,J$72-B126*D$72/12)))</f>
        <v/>
      </c>
      <c r="E126" s="7">
        <f>C126+D126</f>
        <v/>
      </c>
      <c r="F126" s="7">
        <f>B126-D126</f>
        <v/>
      </c>
    </row>
    <row r="127">
      <c r="A127" t="n">
        <v>54</v>
      </c>
      <c r="B127" s="7">
        <f>F126</f>
        <v/>
      </c>
      <c r="C127" s="7">
        <f>B127*D$72/12</f>
        <v/>
      </c>
      <c r="D127" s="7">
        <f>IF(A127&lt;=H$72,0,MIN(B127,IF(D$72=0,J$72,J$72-B127*D$72/12)))</f>
        <v/>
      </c>
      <c r="E127" s="7">
        <f>C127+D127</f>
        <v/>
      </c>
      <c r="F127" s="7">
        <f>B127-D127</f>
        <v/>
      </c>
    </row>
    <row r="128">
      <c r="A128" t="n">
        <v>55</v>
      </c>
      <c r="B128" s="7">
        <f>F127</f>
        <v/>
      </c>
      <c r="C128" s="7">
        <f>B128*D$72/12</f>
        <v/>
      </c>
      <c r="D128" s="7">
        <f>IF(A128&lt;=H$72,0,MIN(B128,IF(D$72=0,J$72,J$72-B128*D$72/12)))</f>
        <v/>
      </c>
      <c r="E128" s="7">
        <f>C128+D128</f>
        <v/>
      </c>
      <c r="F128" s="7">
        <f>B128-D128</f>
        <v/>
      </c>
    </row>
    <row r="129">
      <c r="A129" t="n">
        <v>56</v>
      </c>
      <c r="B129" s="7">
        <f>F128</f>
        <v/>
      </c>
      <c r="C129" s="7">
        <f>B129*D$72/12</f>
        <v/>
      </c>
      <c r="D129" s="7">
        <f>IF(A129&lt;=H$72,0,MIN(B129,IF(D$72=0,J$72,J$72-B129*D$72/12)))</f>
        <v/>
      </c>
      <c r="E129" s="7">
        <f>C129+D129</f>
        <v/>
      </c>
      <c r="F129" s="7">
        <f>B129-D129</f>
        <v/>
      </c>
    </row>
    <row r="130">
      <c r="A130" t="n">
        <v>57</v>
      </c>
      <c r="B130" s="7">
        <f>F129</f>
        <v/>
      </c>
      <c r="C130" s="7">
        <f>B130*D$72/12</f>
        <v/>
      </c>
      <c r="D130" s="7">
        <f>IF(A130&lt;=H$72,0,MIN(B130,IF(D$72=0,J$72,J$72-B130*D$72/12)))</f>
        <v/>
      </c>
      <c r="E130" s="7">
        <f>C130+D130</f>
        <v/>
      </c>
      <c r="F130" s="7">
        <f>B130-D130</f>
        <v/>
      </c>
    </row>
    <row r="131">
      <c r="A131" t="n">
        <v>58</v>
      </c>
      <c r="B131" s="7">
        <f>F130</f>
        <v/>
      </c>
      <c r="C131" s="7">
        <f>B131*D$72/12</f>
        <v/>
      </c>
      <c r="D131" s="7">
        <f>IF(A131&lt;=H$72,0,MIN(B131,IF(D$72=0,J$72,J$72-B131*D$72/12)))</f>
        <v/>
      </c>
      <c r="E131" s="7">
        <f>C131+D131</f>
        <v/>
      </c>
      <c r="F131" s="7">
        <f>B131-D131</f>
        <v/>
      </c>
    </row>
    <row r="132">
      <c r="A132" t="n">
        <v>59</v>
      </c>
      <c r="B132" s="7">
        <f>F131</f>
        <v/>
      </c>
      <c r="C132" s="7">
        <f>B132*D$72/12</f>
        <v/>
      </c>
      <c r="D132" s="7">
        <f>IF(A132&lt;=H$72,0,MIN(B132,IF(D$72=0,J$72,J$72-B132*D$72/12)))</f>
        <v/>
      </c>
      <c r="E132" s="7">
        <f>C132+D132</f>
        <v/>
      </c>
      <c r="F132" s="7">
        <f>B132-D132</f>
        <v/>
      </c>
    </row>
    <row r="133">
      <c r="A133" t="n">
        <v>60</v>
      </c>
      <c r="B133" s="7">
        <f>F132</f>
        <v/>
      </c>
      <c r="C133" s="7">
        <f>B133*D$72/12</f>
        <v/>
      </c>
      <c r="D133" s="7">
        <f>IF(A133&lt;=H$72,0,MIN(B133,IF(D$72=0,J$72,J$72-B133*D$72/12)))</f>
        <v/>
      </c>
      <c r="E133" s="7">
        <f>C133+D133</f>
        <v/>
      </c>
      <c r="F133" s="7">
        <f>B133-D133</f>
        <v/>
      </c>
    </row>
    <row r="134">
      <c r="A134" s="1" t="inlineStr">
        <is>
          <t>Année</t>
        </is>
      </c>
      <c r="B134" s="1" t="inlineStr">
        <is>
          <t>Intérêts</t>
        </is>
      </c>
      <c r="C134" s="1" t="inlineStr">
        <is>
          <t>Capital</t>
        </is>
      </c>
      <c r="D134" s="1" t="inlineStr">
        <is>
          <t>Service</t>
        </is>
      </c>
      <c r="E134" s="1" t="inlineStr">
        <is>
          <t>Solde fin</t>
        </is>
      </c>
    </row>
    <row r="135">
      <c r="A135" t="inlineStr">
        <is>
          <t>An 1</t>
        </is>
      </c>
      <c r="B135" s="7">
        <f>SUM(C74:C85)</f>
        <v/>
      </c>
      <c r="C135" s="7">
        <f>SUM(D74:D85)</f>
        <v/>
      </c>
      <c r="D135" s="7">
        <f>B135+C135</f>
        <v/>
      </c>
      <c r="E135" s="7">
        <f>F85</f>
        <v/>
      </c>
    </row>
    <row r="136">
      <c r="A136" t="inlineStr">
        <is>
          <t>An 2</t>
        </is>
      </c>
      <c r="B136" s="7">
        <f>SUM(C86:C97)</f>
        <v/>
      </c>
      <c r="C136" s="7">
        <f>SUM(D86:D97)</f>
        <v/>
      </c>
      <c r="D136" s="7">
        <f>B136+C136</f>
        <v/>
      </c>
      <c r="E136" s="7">
        <f>F97</f>
        <v/>
      </c>
    </row>
    <row r="137">
      <c r="A137" t="inlineStr">
        <is>
          <t>An 3</t>
        </is>
      </c>
      <c r="B137" s="7">
        <f>SUM(C98:C109)</f>
        <v/>
      </c>
      <c r="C137" s="7">
        <f>SUM(D98:D109)</f>
        <v/>
      </c>
      <c r="D137" s="7">
        <f>B137+C137</f>
        <v/>
      </c>
      <c r="E137" s="7">
        <f>F109</f>
        <v/>
      </c>
    </row>
    <row r="138">
      <c r="A138" t="inlineStr">
        <is>
          <t>An 4</t>
        </is>
      </c>
      <c r="B138" s="7">
        <f>SUM(C110:C121)</f>
        <v/>
      </c>
      <c r="C138" s="7">
        <f>SUM(D110:D121)</f>
        <v/>
      </c>
      <c r="D138" s="7">
        <f>B138+C138</f>
        <v/>
      </c>
      <c r="E138" s="7">
        <f>F121</f>
        <v/>
      </c>
    </row>
    <row r="139">
      <c r="A139" t="inlineStr">
        <is>
          <t>An 5</t>
        </is>
      </c>
      <c r="B139" s="7">
        <f>SUM(C122:C133)</f>
        <v/>
      </c>
      <c r="C139" s="7">
        <f>SUM(D122:D133)</f>
        <v/>
      </c>
      <c r="D139" s="7">
        <f>B139+C139</f>
        <v/>
      </c>
      <c r="E139" s="7">
        <f>F133</f>
        <v/>
      </c>
    </row>
    <row r="141">
      <c r="A141" s="2" t="inlineStr">
        <is>
          <t>Quasi-équité : Fonds régional de solidarité FTQ Estrie ou Fondaction</t>
        </is>
      </c>
    </row>
    <row r="142">
      <c r="A142" t="inlineStr">
        <is>
          <t>Montant</t>
        </is>
      </c>
      <c r="B142" s="7">
        <f>Investissement!B16</f>
        <v/>
      </c>
      <c r="C142" t="inlineStr">
        <is>
          <t>Taux</t>
        </is>
      </c>
      <c r="D142" s="8">
        <f>Investissement!C16</f>
        <v/>
      </c>
      <c r="E142" t="inlineStr">
        <is>
          <t>Amort. (ans)</t>
        </is>
      </c>
      <c r="F142">
        <f>Investissement!D16</f>
        <v/>
      </c>
      <c r="G142" t="inlineStr">
        <is>
          <t>Moratoire (mois)</t>
        </is>
      </c>
      <c r="H142">
        <f>Investissement!E16</f>
        <v/>
      </c>
      <c r="I142" t="inlineStr">
        <is>
          <t>Paiement mensuel</t>
        </is>
      </c>
      <c r="J142" s="7">
        <f>IF(D142=0,B142/(F142*12),PMT(D142/12,F142*12,-B142))</f>
        <v/>
      </c>
    </row>
    <row r="143">
      <c r="A143" s="1" t="inlineStr">
        <is>
          <t>Mois</t>
        </is>
      </c>
      <c r="B143" s="1" t="inlineStr">
        <is>
          <t>Solde début</t>
        </is>
      </c>
      <c r="C143" s="1" t="inlineStr">
        <is>
          <t>Intérêts</t>
        </is>
      </c>
      <c r="D143" s="1" t="inlineStr">
        <is>
          <t>Capital</t>
        </is>
      </c>
      <c r="E143" s="1" t="inlineStr">
        <is>
          <t>Paiement</t>
        </is>
      </c>
      <c r="F143" s="1" t="inlineStr">
        <is>
          <t>Solde fin</t>
        </is>
      </c>
    </row>
    <row r="144">
      <c r="A144" t="n">
        <v>1</v>
      </c>
      <c r="B144" s="7">
        <f>B142</f>
        <v/>
      </c>
      <c r="C144" s="7">
        <f>B144*D$142/12</f>
        <v/>
      </c>
      <c r="D144" s="7">
        <f>IF(A144&lt;=H$142,0,MIN(B144,IF(D$142=0,J$142,J$142-B144*D$142/12)))</f>
        <v/>
      </c>
      <c r="E144" s="7">
        <f>C144+D144</f>
        <v/>
      </c>
      <c r="F144" s="7">
        <f>B144-D144</f>
        <v/>
      </c>
    </row>
    <row r="145">
      <c r="A145" t="n">
        <v>2</v>
      </c>
      <c r="B145" s="7">
        <f>F144</f>
        <v/>
      </c>
      <c r="C145" s="7">
        <f>B145*D$142/12</f>
        <v/>
      </c>
      <c r="D145" s="7">
        <f>IF(A145&lt;=H$142,0,MIN(B145,IF(D$142=0,J$142,J$142-B145*D$142/12)))</f>
        <v/>
      </c>
      <c r="E145" s="7">
        <f>C145+D145</f>
        <v/>
      </c>
      <c r="F145" s="7">
        <f>B145-D145</f>
        <v/>
      </c>
    </row>
    <row r="146">
      <c r="A146" t="n">
        <v>3</v>
      </c>
      <c r="B146" s="7">
        <f>F145</f>
        <v/>
      </c>
      <c r="C146" s="7">
        <f>B146*D$142/12</f>
        <v/>
      </c>
      <c r="D146" s="7">
        <f>IF(A146&lt;=H$142,0,MIN(B146,IF(D$142=0,J$142,J$142-B146*D$142/12)))</f>
        <v/>
      </c>
      <c r="E146" s="7">
        <f>C146+D146</f>
        <v/>
      </c>
      <c r="F146" s="7">
        <f>B146-D146</f>
        <v/>
      </c>
    </row>
    <row r="147">
      <c r="A147" t="n">
        <v>4</v>
      </c>
      <c r="B147" s="7">
        <f>F146</f>
        <v/>
      </c>
      <c r="C147" s="7">
        <f>B147*D$142/12</f>
        <v/>
      </c>
      <c r="D147" s="7">
        <f>IF(A147&lt;=H$142,0,MIN(B147,IF(D$142=0,J$142,J$142-B147*D$142/12)))</f>
        <v/>
      </c>
      <c r="E147" s="7">
        <f>C147+D147</f>
        <v/>
      </c>
      <c r="F147" s="7">
        <f>B147-D147</f>
        <v/>
      </c>
    </row>
    <row r="148">
      <c r="A148" t="n">
        <v>5</v>
      </c>
      <c r="B148" s="7">
        <f>F147</f>
        <v/>
      </c>
      <c r="C148" s="7">
        <f>B148*D$142/12</f>
        <v/>
      </c>
      <c r="D148" s="7">
        <f>IF(A148&lt;=H$142,0,MIN(B148,IF(D$142=0,J$142,J$142-B148*D$142/12)))</f>
        <v/>
      </c>
      <c r="E148" s="7">
        <f>C148+D148</f>
        <v/>
      </c>
      <c r="F148" s="7">
        <f>B148-D148</f>
        <v/>
      </c>
    </row>
    <row r="149">
      <c r="A149" t="n">
        <v>6</v>
      </c>
      <c r="B149" s="7">
        <f>F148</f>
        <v/>
      </c>
      <c r="C149" s="7">
        <f>B149*D$142/12</f>
        <v/>
      </c>
      <c r="D149" s="7">
        <f>IF(A149&lt;=H$142,0,MIN(B149,IF(D$142=0,J$142,J$142-B149*D$142/12)))</f>
        <v/>
      </c>
      <c r="E149" s="7">
        <f>C149+D149</f>
        <v/>
      </c>
      <c r="F149" s="7">
        <f>B149-D149</f>
        <v/>
      </c>
    </row>
    <row r="150">
      <c r="A150" t="n">
        <v>7</v>
      </c>
      <c r="B150" s="7">
        <f>F149</f>
        <v/>
      </c>
      <c r="C150" s="7">
        <f>B150*D$142/12</f>
        <v/>
      </c>
      <c r="D150" s="7">
        <f>IF(A150&lt;=H$142,0,MIN(B150,IF(D$142=0,J$142,J$142-B150*D$142/12)))</f>
        <v/>
      </c>
      <c r="E150" s="7">
        <f>C150+D150</f>
        <v/>
      </c>
      <c r="F150" s="7">
        <f>B150-D150</f>
        <v/>
      </c>
    </row>
    <row r="151">
      <c r="A151" t="n">
        <v>8</v>
      </c>
      <c r="B151" s="7">
        <f>F150</f>
        <v/>
      </c>
      <c r="C151" s="7">
        <f>B151*D$142/12</f>
        <v/>
      </c>
      <c r="D151" s="7">
        <f>IF(A151&lt;=H$142,0,MIN(B151,IF(D$142=0,J$142,J$142-B151*D$142/12)))</f>
        <v/>
      </c>
      <c r="E151" s="7">
        <f>C151+D151</f>
        <v/>
      </c>
      <c r="F151" s="7">
        <f>B151-D151</f>
        <v/>
      </c>
    </row>
    <row r="152">
      <c r="A152" t="n">
        <v>9</v>
      </c>
      <c r="B152" s="7">
        <f>F151</f>
        <v/>
      </c>
      <c r="C152" s="7">
        <f>B152*D$142/12</f>
        <v/>
      </c>
      <c r="D152" s="7">
        <f>IF(A152&lt;=H$142,0,MIN(B152,IF(D$142=0,J$142,J$142-B152*D$142/12)))</f>
        <v/>
      </c>
      <c r="E152" s="7">
        <f>C152+D152</f>
        <v/>
      </c>
      <c r="F152" s="7">
        <f>B152-D152</f>
        <v/>
      </c>
    </row>
    <row r="153">
      <c r="A153" t="n">
        <v>10</v>
      </c>
      <c r="B153" s="7">
        <f>F152</f>
        <v/>
      </c>
      <c r="C153" s="7">
        <f>B153*D$142/12</f>
        <v/>
      </c>
      <c r="D153" s="7">
        <f>IF(A153&lt;=H$142,0,MIN(B153,IF(D$142=0,J$142,J$142-B153*D$142/12)))</f>
        <v/>
      </c>
      <c r="E153" s="7">
        <f>C153+D153</f>
        <v/>
      </c>
      <c r="F153" s="7">
        <f>B153-D153</f>
        <v/>
      </c>
    </row>
    <row r="154">
      <c r="A154" t="n">
        <v>11</v>
      </c>
      <c r="B154" s="7">
        <f>F153</f>
        <v/>
      </c>
      <c r="C154" s="7">
        <f>B154*D$142/12</f>
        <v/>
      </c>
      <c r="D154" s="7">
        <f>IF(A154&lt;=H$142,0,MIN(B154,IF(D$142=0,J$142,J$142-B154*D$142/12)))</f>
        <v/>
      </c>
      <c r="E154" s="7">
        <f>C154+D154</f>
        <v/>
      </c>
      <c r="F154" s="7">
        <f>B154-D154</f>
        <v/>
      </c>
    </row>
    <row r="155">
      <c r="A155" t="n">
        <v>12</v>
      </c>
      <c r="B155" s="7">
        <f>F154</f>
        <v/>
      </c>
      <c r="C155" s="7">
        <f>B155*D$142/12</f>
        <v/>
      </c>
      <c r="D155" s="7">
        <f>IF(A155&lt;=H$142,0,MIN(B155,IF(D$142=0,J$142,J$142-B155*D$142/12)))</f>
        <v/>
      </c>
      <c r="E155" s="7">
        <f>C155+D155</f>
        <v/>
      </c>
      <c r="F155" s="7">
        <f>B155-D155</f>
        <v/>
      </c>
    </row>
    <row r="156">
      <c r="A156" t="n">
        <v>13</v>
      </c>
      <c r="B156" s="7">
        <f>F155</f>
        <v/>
      </c>
      <c r="C156" s="7">
        <f>B156*D$142/12</f>
        <v/>
      </c>
      <c r="D156" s="7">
        <f>IF(A156&lt;=H$142,0,MIN(B156,IF(D$142=0,J$142,J$142-B156*D$142/12)))</f>
        <v/>
      </c>
      <c r="E156" s="7">
        <f>C156+D156</f>
        <v/>
      </c>
      <c r="F156" s="7">
        <f>B156-D156</f>
        <v/>
      </c>
    </row>
    <row r="157">
      <c r="A157" t="n">
        <v>14</v>
      </c>
      <c r="B157" s="7">
        <f>F156</f>
        <v/>
      </c>
      <c r="C157" s="7">
        <f>B157*D$142/12</f>
        <v/>
      </c>
      <c r="D157" s="7">
        <f>IF(A157&lt;=H$142,0,MIN(B157,IF(D$142=0,J$142,J$142-B157*D$142/12)))</f>
        <v/>
      </c>
      <c r="E157" s="7">
        <f>C157+D157</f>
        <v/>
      </c>
      <c r="F157" s="7">
        <f>B157-D157</f>
        <v/>
      </c>
    </row>
    <row r="158">
      <c r="A158" t="n">
        <v>15</v>
      </c>
      <c r="B158" s="7">
        <f>F157</f>
        <v/>
      </c>
      <c r="C158" s="7">
        <f>B158*D$142/12</f>
        <v/>
      </c>
      <c r="D158" s="7">
        <f>IF(A158&lt;=H$142,0,MIN(B158,IF(D$142=0,J$142,J$142-B158*D$142/12)))</f>
        <v/>
      </c>
      <c r="E158" s="7">
        <f>C158+D158</f>
        <v/>
      </c>
      <c r="F158" s="7">
        <f>B158-D158</f>
        <v/>
      </c>
    </row>
    <row r="159">
      <c r="A159" t="n">
        <v>16</v>
      </c>
      <c r="B159" s="7">
        <f>F158</f>
        <v/>
      </c>
      <c r="C159" s="7">
        <f>B159*D$142/12</f>
        <v/>
      </c>
      <c r="D159" s="7">
        <f>IF(A159&lt;=H$142,0,MIN(B159,IF(D$142=0,J$142,J$142-B159*D$142/12)))</f>
        <v/>
      </c>
      <c r="E159" s="7">
        <f>C159+D159</f>
        <v/>
      </c>
      <c r="F159" s="7">
        <f>B159-D159</f>
        <v/>
      </c>
    </row>
    <row r="160">
      <c r="A160" t="n">
        <v>17</v>
      </c>
      <c r="B160" s="7">
        <f>F159</f>
        <v/>
      </c>
      <c r="C160" s="7">
        <f>B160*D$142/12</f>
        <v/>
      </c>
      <c r="D160" s="7">
        <f>IF(A160&lt;=H$142,0,MIN(B160,IF(D$142=0,J$142,J$142-B160*D$142/12)))</f>
        <v/>
      </c>
      <c r="E160" s="7">
        <f>C160+D160</f>
        <v/>
      </c>
      <c r="F160" s="7">
        <f>B160-D160</f>
        <v/>
      </c>
    </row>
    <row r="161">
      <c r="A161" t="n">
        <v>18</v>
      </c>
      <c r="B161" s="7">
        <f>F160</f>
        <v/>
      </c>
      <c r="C161" s="7">
        <f>B161*D$142/12</f>
        <v/>
      </c>
      <c r="D161" s="7">
        <f>IF(A161&lt;=H$142,0,MIN(B161,IF(D$142=0,J$142,J$142-B161*D$142/12)))</f>
        <v/>
      </c>
      <c r="E161" s="7">
        <f>C161+D161</f>
        <v/>
      </c>
      <c r="F161" s="7">
        <f>B161-D161</f>
        <v/>
      </c>
    </row>
    <row r="162">
      <c r="A162" t="n">
        <v>19</v>
      </c>
      <c r="B162" s="7">
        <f>F161</f>
        <v/>
      </c>
      <c r="C162" s="7">
        <f>B162*D$142/12</f>
        <v/>
      </c>
      <c r="D162" s="7">
        <f>IF(A162&lt;=H$142,0,MIN(B162,IF(D$142=0,J$142,J$142-B162*D$142/12)))</f>
        <v/>
      </c>
      <c r="E162" s="7">
        <f>C162+D162</f>
        <v/>
      </c>
      <c r="F162" s="7">
        <f>B162-D162</f>
        <v/>
      </c>
    </row>
    <row r="163">
      <c r="A163" t="n">
        <v>20</v>
      </c>
      <c r="B163" s="7">
        <f>F162</f>
        <v/>
      </c>
      <c r="C163" s="7">
        <f>B163*D$142/12</f>
        <v/>
      </c>
      <c r="D163" s="7">
        <f>IF(A163&lt;=H$142,0,MIN(B163,IF(D$142=0,J$142,J$142-B163*D$142/12)))</f>
        <v/>
      </c>
      <c r="E163" s="7">
        <f>C163+D163</f>
        <v/>
      </c>
      <c r="F163" s="7">
        <f>B163-D163</f>
        <v/>
      </c>
    </row>
    <row r="164">
      <c r="A164" t="n">
        <v>21</v>
      </c>
      <c r="B164" s="7">
        <f>F163</f>
        <v/>
      </c>
      <c r="C164" s="7">
        <f>B164*D$142/12</f>
        <v/>
      </c>
      <c r="D164" s="7">
        <f>IF(A164&lt;=H$142,0,MIN(B164,IF(D$142=0,J$142,J$142-B164*D$142/12)))</f>
        <v/>
      </c>
      <c r="E164" s="7">
        <f>C164+D164</f>
        <v/>
      </c>
      <c r="F164" s="7">
        <f>B164-D164</f>
        <v/>
      </c>
    </row>
    <row r="165">
      <c r="A165" t="n">
        <v>22</v>
      </c>
      <c r="B165" s="7">
        <f>F164</f>
        <v/>
      </c>
      <c r="C165" s="7">
        <f>B165*D$142/12</f>
        <v/>
      </c>
      <c r="D165" s="7">
        <f>IF(A165&lt;=H$142,0,MIN(B165,IF(D$142=0,J$142,J$142-B165*D$142/12)))</f>
        <v/>
      </c>
      <c r="E165" s="7">
        <f>C165+D165</f>
        <v/>
      </c>
      <c r="F165" s="7">
        <f>B165-D165</f>
        <v/>
      </c>
    </row>
    <row r="166">
      <c r="A166" t="n">
        <v>23</v>
      </c>
      <c r="B166" s="7">
        <f>F165</f>
        <v/>
      </c>
      <c r="C166" s="7">
        <f>B166*D$142/12</f>
        <v/>
      </c>
      <c r="D166" s="7">
        <f>IF(A166&lt;=H$142,0,MIN(B166,IF(D$142=0,J$142,J$142-B166*D$142/12)))</f>
        <v/>
      </c>
      <c r="E166" s="7">
        <f>C166+D166</f>
        <v/>
      </c>
      <c r="F166" s="7">
        <f>B166-D166</f>
        <v/>
      </c>
    </row>
    <row r="167">
      <c r="A167" t="n">
        <v>24</v>
      </c>
      <c r="B167" s="7">
        <f>F166</f>
        <v/>
      </c>
      <c r="C167" s="7">
        <f>B167*D$142/12</f>
        <v/>
      </c>
      <c r="D167" s="7">
        <f>IF(A167&lt;=H$142,0,MIN(B167,IF(D$142=0,J$142,J$142-B167*D$142/12)))</f>
        <v/>
      </c>
      <c r="E167" s="7">
        <f>C167+D167</f>
        <v/>
      </c>
      <c r="F167" s="7">
        <f>B167-D167</f>
        <v/>
      </c>
    </row>
    <row r="168">
      <c r="A168" t="n">
        <v>25</v>
      </c>
      <c r="B168" s="7">
        <f>F167</f>
        <v/>
      </c>
      <c r="C168" s="7">
        <f>B168*D$142/12</f>
        <v/>
      </c>
      <c r="D168" s="7">
        <f>IF(A168&lt;=H$142,0,MIN(B168,IF(D$142=0,J$142,J$142-B168*D$142/12)))</f>
        <v/>
      </c>
      <c r="E168" s="7">
        <f>C168+D168</f>
        <v/>
      </c>
      <c r="F168" s="7">
        <f>B168-D168</f>
        <v/>
      </c>
    </row>
    <row r="169">
      <c r="A169" t="n">
        <v>26</v>
      </c>
      <c r="B169" s="7">
        <f>F168</f>
        <v/>
      </c>
      <c r="C169" s="7">
        <f>B169*D$142/12</f>
        <v/>
      </c>
      <c r="D169" s="7">
        <f>IF(A169&lt;=H$142,0,MIN(B169,IF(D$142=0,J$142,J$142-B169*D$142/12)))</f>
        <v/>
      </c>
      <c r="E169" s="7">
        <f>C169+D169</f>
        <v/>
      </c>
      <c r="F169" s="7">
        <f>B169-D169</f>
        <v/>
      </c>
    </row>
    <row r="170">
      <c r="A170" t="n">
        <v>27</v>
      </c>
      <c r="B170" s="7">
        <f>F169</f>
        <v/>
      </c>
      <c r="C170" s="7">
        <f>B170*D$142/12</f>
        <v/>
      </c>
      <c r="D170" s="7">
        <f>IF(A170&lt;=H$142,0,MIN(B170,IF(D$142=0,J$142,J$142-B170*D$142/12)))</f>
        <v/>
      </c>
      <c r="E170" s="7">
        <f>C170+D170</f>
        <v/>
      </c>
      <c r="F170" s="7">
        <f>B170-D170</f>
        <v/>
      </c>
    </row>
    <row r="171">
      <c r="A171" t="n">
        <v>28</v>
      </c>
      <c r="B171" s="7">
        <f>F170</f>
        <v/>
      </c>
      <c r="C171" s="7">
        <f>B171*D$142/12</f>
        <v/>
      </c>
      <c r="D171" s="7">
        <f>IF(A171&lt;=H$142,0,MIN(B171,IF(D$142=0,J$142,J$142-B171*D$142/12)))</f>
        <v/>
      </c>
      <c r="E171" s="7">
        <f>C171+D171</f>
        <v/>
      </c>
      <c r="F171" s="7">
        <f>B171-D171</f>
        <v/>
      </c>
    </row>
    <row r="172">
      <c r="A172" t="n">
        <v>29</v>
      </c>
      <c r="B172" s="7">
        <f>F171</f>
        <v/>
      </c>
      <c r="C172" s="7">
        <f>B172*D$142/12</f>
        <v/>
      </c>
      <c r="D172" s="7">
        <f>IF(A172&lt;=H$142,0,MIN(B172,IF(D$142=0,J$142,J$142-B172*D$142/12)))</f>
        <v/>
      </c>
      <c r="E172" s="7">
        <f>C172+D172</f>
        <v/>
      </c>
      <c r="F172" s="7">
        <f>B172-D172</f>
        <v/>
      </c>
    </row>
    <row r="173">
      <c r="A173" t="n">
        <v>30</v>
      </c>
      <c r="B173" s="7">
        <f>F172</f>
        <v/>
      </c>
      <c r="C173" s="7">
        <f>B173*D$142/12</f>
        <v/>
      </c>
      <c r="D173" s="7">
        <f>IF(A173&lt;=H$142,0,MIN(B173,IF(D$142=0,J$142,J$142-B173*D$142/12)))</f>
        <v/>
      </c>
      <c r="E173" s="7">
        <f>C173+D173</f>
        <v/>
      </c>
      <c r="F173" s="7">
        <f>B173-D173</f>
        <v/>
      </c>
    </row>
    <row r="174">
      <c r="A174" t="n">
        <v>31</v>
      </c>
      <c r="B174" s="7">
        <f>F173</f>
        <v/>
      </c>
      <c r="C174" s="7">
        <f>B174*D$142/12</f>
        <v/>
      </c>
      <c r="D174" s="7">
        <f>IF(A174&lt;=H$142,0,MIN(B174,IF(D$142=0,J$142,J$142-B174*D$142/12)))</f>
        <v/>
      </c>
      <c r="E174" s="7">
        <f>C174+D174</f>
        <v/>
      </c>
      <c r="F174" s="7">
        <f>B174-D174</f>
        <v/>
      </c>
    </row>
    <row r="175">
      <c r="A175" t="n">
        <v>32</v>
      </c>
      <c r="B175" s="7">
        <f>F174</f>
        <v/>
      </c>
      <c r="C175" s="7">
        <f>B175*D$142/12</f>
        <v/>
      </c>
      <c r="D175" s="7">
        <f>IF(A175&lt;=H$142,0,MIN(B175,IF(D$142=0,J$142,J$142-B175*D$142/12)))</f>
        <v/>
      </c>
      <c r="E175" s="7">
        <f>C175+D175</f>
        <v/>
      </c>
      <c r="F175" s="7">
        <f>B175-D175</f>
        <v/>
      </c>
    </row>
    <row r="176">
      <c r="A176" t="n">
        <v>33</v>
      </c>
      <c r="B176" s="7">
        <f>F175</f>
        <v/>
      </c>
      <c r="C176" s="7">
        <f>B176*D$142/12</f>
        <v/>
      </c>
      <c r="D176" s="7">
        <f>IF(A176&lt;=H$142,0,MIN(B176,IF(D$142=0,J$142,J$142-B176*D$142/12)))</f>
        <v/>
      </c>
      <c r="E176" s="7">
        <f>C176+D176</f>
        <v/>
      </c>
      <c r="F176" s="7">
        <f>B176-D176</f>
        <v/>
      </c>
    </row>
    <row r="177">
      <c r="A177" t="n">
        <v>34</v>
      </c>
      <c r="B177" s="7">
        <f>F176</f>
        <v/>
      </c>
      <c r="C177" s="7">
        <f>B177*D$142/12</f>
        <v/>
      </c>
      <c r="D177" s="7">
        <f>IF(A177&lt;=H$142,0,MIN(B177,IF(D$142=0,J$142,J$142-B177*D$142/12)))</f>
        <v/>
      </c>
      <c r="E177" s="7">
        <f>C177+D177</f>
        <v/>
      </c>
      <c r="F177" s="7">
        <f>B177-D177</f>
        <v/>
      </c>
    </row>
    <row r="178">
      <c r="A178" t="n">
        <v>35</v>
      </c>
      <c r="B178" s="7">
        <f>F177</f>
        <v/>
      </c>
      <c r="C178" s="7">
        <f>B178*D$142/12</f>
        <v/>
      </c>
      <c r="D178" s="7">
        <f>IF(A178&lt;=H$142,0,MIN(B178,IF(D$142=0,J$142,J$142-B178*D$142/12)))</f>
        <v/>
      </c>
      <c r="E178" s="7">
        <f>C178+D178</f>
        <v/>
      </c>
      <c r="F178" s="7">
        <f>B178-D178</f>
        <v/>
      </c>
    </row>
    <row r="179">
      <c r="A179" t="n">
        <v>36</v>
      </c>
      <c r="B179" s="7">
        <f>F178</f>
        <v/>
      </c>
      <c r="C179" s="7">
        <f>B179*D$142/12</f>
        <v/>
      </c>
      <c r="D179" s="7">
        <f>IF(A179&lt;=H$142,0,MIN(B179,IF(D$142=0,J$142,J$142-B179*D$142/12)))</f>
        <v/>
      </c>
      <c r="E179" s="7">
        <f>C179+D179</f>
        <v/>
      </c>
      <c r="F179" s="7">
        <f>B179-D179</f>
        <v/>
      </c>
    </row>
    <row r="180">
      <c r="A180" t="n">
        <v>37</v>
      </c>
      <c r="B180" s="7">
        <f>F179</f>
        <v/>
      </c>
      <c r="C180" s="7">
        <f>B180*D$142/12</f>
        <v/>
      </c>
      <c r="D180" s="7">
        <f>IF(A180&lt;=H$142,0,MIN(B180,IF(D$142=0,J$142,J$142-B180*D$142/12)))</f>
        <v/>
      </c>
      <c r="E180" s="7">
        <f>C180+D180</f>
        <v/>
      </c>
      <c r="F180" s="7">
        <f>B180-D180</f>
        <v/>
      </c>
    </row>
    <row r="181">
      <c r="A181" t="n">
        <v>38</v>
      </c>
      <c r="B181" s="7">
        <f>F180</f>
        <v/>
      </c>
      <c r="C181" s="7">
        <f>B181*D$142/12</f>
        <v/>
      </c>
      <c r="D181" s="7">
        <f>IF(A181&lt;=H$142,0,MIN(B181,IF(D$142=0,J$142,J$142-B181*D$142/12)))</f>
        <v/>
      </c>
      <c r="E181" s="7">
        <f>C181+D181</f>
        <v/>
      </c>
      <c r="F181" s="7">
        <f>B181-D181</f>
        <v/>
      </c>
    </row>
    <row r="182">
      <c r="A182" t="n">
        <v>39</v>
      </c>
      <c r="B182" s="7">
        <f>F181</f>
        <v/>
      </c>
      <c r="C182" s="7">
        <f>B182*D$142/12</f>
        <v/>
      </c>
      <c r="D182" s="7">
        <f>IF(A182&lt;=H$142,0,MIN(B182,IF(D$142=0,J$142,J$142-B182*D$142/12)))</f>
        <v/>
      </c>
      <c r="E182" s="7">
        <f>C182+D182</f>
        <v/>
      </c>
      <c r="F182" s="7">
        <f>B182-D182</f>
        <v/>
      </c>
    </row>
    <row r="183">
      <c r="A183" t="n">
        <v>40</v>
      </c>
      <c r="B183" s="7">
        <f>F182</f>
        <v/>
      </c>
      <c r="C183" s="7">
        <f>B183*D$142/12</f>
        <v/>
      </c>
      <c r="D183" s="7">
        <f>IF(A183&lt;=H$142,0,MIN(B183,IF(D$142=0,J$142,J$142-B183*D$142/12)))</f>
        <v/>
      </c>
      <c r="E183" s="7">
        <f>C183+D183</f>
        <v/>
      </c>
      <c r="F183" s="7">
        <f>B183-D183</f>
        <v/>
      </c>
    </row>
    <row r="184">
      <c r="A184" t="n">
        <v>41</v>
      </c>
      <c r="B184" s="7">
        <f>F183</f>
        <v/>
      </c>
      <c r="C184" s="7">
        <f>B184*D$142/12</f>
        <v/>
      </c>
      <c r="D184" s="7">
        <f>IF(A184&lt;=H$142,0,MIN(B184,IF(D$142=0,J$142,J$142-B184*D$142/12)))</f>
        <v/>
      </c>
      <c r="E184" s="7">
        <f>C184+D184</f>
        <v/>
      </c>
      <c r="F184" s="7">
        <f>B184-D184</f>
        <v/>
      </c>
    </row>
    <row r="185">
      <c r="A185" t="n">
        <v>42</v>
      </c>
      <c r="B185" s="7">
        <f>F184</f>
        <v/>
      </c>
      <c r="C185" s="7">
        <f>B185*D$142/12</f>
        <v/>
      </c>
      <c r="D185" s="7">
        <f>IF(A185&lt;=H$142,0,MIN(B185,IF(D$142=0,J$142,J$142-B185*D$142/12)))</f>
        <v/>
      </c>
      <c r="E185" s="7">
        <f>C185+D185</f>
        <v/>
      </c>
      <c r="F185" s="7">
        <f>B185-D185</f>
        <v/>
      </c>
    </row>
    <row r="186">
      <c r="A186" t="n">
        <v>43</v>
      </c>
      <c r="B186" s="7">
        <f>F185</f>
        <v/>
      </c>
      <c r="C186" s="7">
        <f>B186*D$142/12</f>
        <v/>
      </c>
      <c r="D186" s="7">
        <f>IF(A186&lt;=H$142,0,MIN(B186,IF(D$142=0,J$142,J$142-B186*D$142/12)))</f>
        <v/>
      </c>
      <c r="E186" s="7">
        <f>C186+D186</f>
        <v/>
      </c>
      <c r="F186" s="7">
        <f>B186-D186</f>
        <v/>
      </c>
    </row>
    <row r="187">
      <c r="A187" t="n">
        <v>44</v>
      </c>
      <c r="B187" s="7">
        <f>F186</f>
        <v/>
      </c>
      <c r="C187" s="7">
        <f>B187*D$142/12</f>
        <v/>
      </c>
      <c r="D187" s="7">
        <f>IF(A187&lt;=H$142,0,MIN(B187,IF(D$142=0,J$142,J$142-B187*D$142/12)))</f>
        <v/>
      </c>
      <c r="E187" s="7">
        <f>C187+D187</f>
        <v/>
      </c>
      <c r="F187" s="7">
        <f>B187-D187</f>
        <v/>
      </c>
    </row>
    <row r="188">
      <c r="A188" t="n">
        <v>45</v>
      </c>
      <c r="B188" s="7">
        <f>F187</f>
        <v/>
      </c>
      <c r="C188" s="7">
        <f>B188*D$142/12</f>
        <v/>
      </c>
      <c r="D188" s="7">
        <f>IF(A188&lt;=H$142,0,MIN(B188,IF(D$142=0,J$142,J$142-B188*D$142/12)))</f>
        <v/>
      </c>
      <c r="E188" s="7">
        <f>C188+D188</f>
        <v/>
      </c>
      <c r="F188" s="7">
        <f>B188-D188</f>
        <v/>
      </c>
    </row>
    <row r="189">
      <c r="A189" t="n">
        <v>46</v>
      </c>
      <c r="B189" s="7">
        <f>F188</f>
        <v/>
      </c>
      <c r="C189" s="7">
        <f>B189*D$142/12</f>
        <v/>
      </c>
      <c r="D189" s="7">
        <f>IF(A189&lt;=H$142,0,MIN(B189,IF(D$142=0,J$142,J$142-B189*D$142/12)))</f>
        <v/>
      </c>
      <c r="E189" s="7">
        <f>C189+D189</f>
        <v/>
      </c>
      <c r="F189" s="7">
        <f>B189-D189</f>
        <v/>
      </c>
    </row>
    <row r="190">
      <c r="A190" t="n">
        <v>47</v>
      </c>
      <c r="B190" s="7">
        <f>F189</f>
        <v/>
      </c>
      <c r="C190" s="7">
        <f>B190*D$142/12</f>
        <v/>
      </c>
      <c r="D190" s="7">
        <f>IF(A190&lt;=H$142,0,MIN(B190,IF(D$142=0,J$142,J$142-B190*D$142/12)))</f>
        <v/>
      </c>
      <c r="E190" s="7">
        <f>C190+D190</f>
        <v/>
      </c>
      <c r="F190" s="7">
        <f>B190-D190</f>
        <v/>
      </c>
    </row>
    <row r="191">
      <c r="A191" t="n">
        <v>48</v>
      </c>
      <c r="B191" s="7">
        <f>F190</f>
        <v/>
      </c>
      <c r="C191" s="7">
        <f>B191*D$142/12</f>
        <v/>
      </c>
      <c r="D191" s="7">
        <f>IF(A191&lt;=H$142,0,MIN(B191,IF(D$142=0,J$142,J$142-B191*D$142/12)))</f>
        <v/>
      </c>
      <c r="E191" s="7">
        <f>C191+D191</f>
        <v/>
      </c>
      <c r="F191" s="7">
        <f>B191-D191</f>
        <v/>
      </c>
    </row>
    <row r="192">
      <c r="A192" t="n">
        <v>49</v>
      </c>
      <c r="B192" s="7">
        <f>F191</f>
        <v/>
      </c>
      <c r="C192" s="7">
        <f>B192*D$142/12</f>
        <v/>
      </c>
      <c r="D192" s="7">
        <f>IF(A192&lt;=H$142,0,MIN(B192,IF(D$142=0,J$142,J$142-B192*D$142/12)))</f>
        <v/>
      </c>
      <c r="E192" s="7">
        <f>C192+D192</f>
        <v/>
      </c>
      <c r="F192" s="7">
        <f>B192-D192</f>
        <v/>
      </c>
    </row>
    <row r="193">
      <c r="A193" t="n">
        <v>50</v>
      </c>
      <c r="B193" s="7">
        <f>F192</f>
        <v/>
      </c>
      <c r="C193" s="7">
        <f>B193*D$142/12</f>
        <v/>
      </c>
      <c r="D193" s="7">
        <f>IF(A193&lt;=H$142,0,MIN(B193,IF(D$142=0,J$142,J$142-B193*D$142/12)))</f>
        <v/>
      </c>
      <c r="E193" s="7">
        <f>C193+D193</f>
        <v/>
      </c>
      <c r="F193" s="7">
        <f>B193-D193</f>
        <v/>
      </c>
    </row>
    <row r="194">
      <c r="A194" t="n">
        <v>51</v>
      </c>
      <c r="B194" s="7">
        <f>F193</f>
        <v/>
      </c>
      <c r="C194" s="7">
        <f>B194*D$142/12</f>
        <v/>
      </c>
      <c r="D194" s="7">
        <f>IF(A194&lt;=H$142,0,MIN(B194,IF(D$142=0,J$142,J$142-B194*D$142/12)))</f>
        <v/>
      </c>
      <c r="E194" s="7">
        <f>C194+D194</f>
        <v/>
      </c>
      <c r="F194" s="7">
        <f>B194-D194</f>
        <v/>
      </c>
    </row>
    <row r="195">
      <c r="A195" t="n">
        <v>52</v>
      </c>
      <c r="B195" s="7">
        <f>F194</f>
        <v/>
      </c>
      <c r="C195" s="7">
        <f>B195*D$142/12</f>
        <v/>
      </c>
      <c r="D195" s="7">
        <f>IF(A195&lt;=H$142,0,MIN(B195,IF(D$142=0,J$142,J$142-B195*D$142/12)))</f>
        <v/>
      </c>
      <c r="E195" s="7">
        <f>C195+D195</f>
        <v/>
      </c>
      <c r="F195" s="7">
        <f>B195-D195</f>
        <v/>
      </c>
    </row>
    <row r="196">
      <c r="A196" t="n">
        <v>53</v>
      </c>
      <c r="B196" s="7">
        <f>F195</f>
        <v/>
      </c>
      <c r="C196" s="7">
        <f>B196*D$142/12</f>
        <v/>
      </c>
      <c r="D196" s="7">
        <f>IF(A196&lt;=H$142,0,MIN(B196,IF(D$142=0,J$142,J$142-B196*D$142/12)))</f>
        <v/>
      </c>
      <c r="E196" s="7">
        <f>C196+D196</f>
        <v/>
      </c>
      <c r="F196" s="7">
        <f>B196-D196</f>
        <v/>
      </c>
    </row>
    <row r="197">
      <c r="A197" t="n">
        <v>54</v>
      </c>
      <c r="B197" s="7">
        <f>F196</f>
        <v/>
      </c>
      <c r="C197" s="7">
        <f>B197*D$142/12</f>
        <v/>
      </c>
      <c r="D197" s="7">
        <f>IF(A197&lt;=H$142,0,MIN(B197,IF(D$142=0,J$142,J$142-B197*D$142/12)))</f>
        <v/>
      </c>
      <c r="E197" s="7">
        <f>C197+D197</f>
        <v/>
      </c>
      <c r="F197" s="7">
        <f>B197-D197</f>
        <v/>
      </c>
    </row>
    <row r="198">
      <c r="A198" t="n">
        <v>55</v>
      </c>
      <c r="B198" s="7">
        <f>F197</f>
        <v/>
      </c>
      <c r="C198" s="7">
        <f>B198*D$142/12</f>
        <v/>
      </c>
      <c r="D198" s="7">
        <f>IF(A198&lt;=H$142,0,MIN(B198,IF(D$142=0,J$142,J$142-B198*D$142/12)))</f>
        <v/>
      </c>
      <c r="E198" s="7">
        <f>C198+D198</f>
        <v/>
      </c>
      <c r="F198" s="7">
        <f>B198-D198</f>
        <v/>
      </c>
    </row>
    <row r="199">
      <c r="A199" t="n">
        <v>56</v>
      </c>
      <c r="B199" s="7">
        <f>F198</f>
        <v/>
      </c>
      <c r="C199" s="7">
        <f>B199*D$142/12</f>
        <v/>
      </c>
      <c r="D199" s="7">
        <f>IF(A199&lt;=H$142,0,MIN(B199,IF(D$142=0,J$142,J$142-B199*D$142/12)))</f>
        <v/>
      </c>
      <c r="E199" s="7">
        <f>C199+D199</f>
        <v/>
      </c>
      <c r="F199" s="7">
        <f>B199-D199</f>
        <v/>
      </c>
    </row>
    <row r="200">
      <c r="A200" t="n">
        <v>57</v>
      </c>
      <c r="B200" s="7">
        <f>F199</f>
        <v/>
      </c>
      <c r="C200" s="7">
        <f>B200*D$142/12</f>
        <v/>
      </c>
      <c r="D200" s="7">
        <f>IF(A200&lt;=H$142,0,MIN(B200,IF(D$142=0,J$142,J$142-B200*D$142/12)))</f>
        <v/>
      </c>
      <c r="E200" s="7">
        <f>C200+D200</f>
        <v/>
      </c>
      <c r="F200" s="7">
        <f>B200-D200</f>
        <v/>
      </c>
    </row>
    <row r="201">
      <c r="A201" t="n">
        <v>58</v>
      </c>
      <c r="B201" s="7">
        <f>F200</f>
        <v/>
      </c>
      <c r="C201" s="7">
        <f>B201*D$142/12</f>
        <v/>
      </c>
      <c r="D201" s="7">
        <f>IF(A201&lt;=H$142,0,MIN(B201,IF(D$142=0,J$142,J$142-B201*D$142/12)))</f>
        <v/>
      </c>
      <c r="E201" s="7">
        <f>C201+D201</f>
        <v/>
      </c>
      <c r="F201" s="7">
        <f>B201-D201</f>
        <v/>
      </c>
    </row>
    <row r="202">
      <c r="A202" t="n">
        <v>59</v>
      </c>
      <c r="B202" s="7">
        <f>F201</f>
        <v/>
      </c>
      <c r="C202" s="7">
        <f>B202*D$142/12</f>
        <v/>
      </c>
      <c r="D202" s="7">
        <f>IF(A202&lt;=H$142,0,MIN(B202,IF(D$142=0,J$142,J$142-B202*D$142/12)))</f>
        <v/>
      </c>
      <c r="E202" s="7">
        <f>C202+D202</f>
        <v/>
      </c>
      <c r="F202" s="7">
        <f>B202-D202</f>
        <v/>
      </c>
    </row>
    <row r="203">
      <c r="A203" t="n">
        <v>60</v>
      </c>
      <c r="B203" s="7">
        <f>F202</f>
        <v/>
      </c>
      <c r="C203" s="7">
        <f>B203*D$142/12</f>
        <v/>
      </c>
      <c r="D203" s="7">
        <f>IF(A203&lt;=H$142,0,MIN(B203,IF(D$142=0,J$142,J$142-B203*D$142/12)))</f>
        <v/>
      </c>
      <c r="E203" s="7">
        <f>C203+D203</f>
        <v/>
      </c>
      <c r="F203" s="7">
        <f>B203-D203</f>
        <v/>
      </c>
    </row>
    <row r="204">
      <c r="A204" s="1" t="inlineStr">
        <is>
          <t>Année</t>
        </is>
      </c>
      <c r="B204" s="1" t="inlineStr">
        <is>
          <t>Intérêts</t>
        </is>
      </c>
      <c r="C204" s="1" t="inlineStr">
        <is>
          <t>Capital</t>
        </is>
      </c>
      <c r="D204" s="1" t="inlineStr">
        <is>
          <t>Service</t>
        </is>
      </c>
      <c r="E204" s="1" t="inlineStr">
        <is>
          <t>Solde fin</t>
        </is>
      </c>
    </row>
    <row r="205">
      <c r="A205" t="inlineStr">
        <is>
          <t>An 1</t>
        </is>
      </c>
      <c r="B205" s="7">
        <f>SUM(C144:C155)</f>
        <v/>
      </c>
      <c r="C205" s="7">
        <f>SUM(D144:D155)</f>
        <v/>
      </c>
      <c r="D205" s="7">
        <f>B205+C205</f>
        <v/>
      </c>
      <c r="E205" s="7">
        <f>F155</f>
        <v/>
      </c>
    </row>
    <row r="206">
      <c r="A206" t="inlineStr">
        <is>
          <t>An 2</t>
        </is>
      </c>
      <c r="B206" s="7">
        <f>SUM(C156:C167)</f>
        <v/>
      </c>
      <c r="C206" s="7">
        <f>SUM(D156:D167)</f>
        <v/>
      </c>
      <c r="D206" s="7">
        <f>B206+C206</f>
        <v/>
      </c>
      <c r="E206" s="7">
        <f>F167</f>
        <v/>
      </c>
    </row>
    <row r="207">
      <c r="A207" t="inlineStr">
        <is>
          <t>An 3</t>
        </is>
      </c>
      <c r="B207" s="7">
        <f>SUM(C168:C179)</f>
        <v/>
      </c>
      <c r="C207" s="7">
        <f>SUM(D168:D179)</f>
        <v/>
      </c>
      <c r="D207" s="7">
        <f>B207+C207</f>
        <v/>
      </c>
      <c r="E207" s="7">
        <f>F179</f>
        <v/>
      </c>
    </row>
    <row r="208">
      <c r="A208" t="inlineStr">
        <is>
          <t>An 4</t>
        </is>
      </c>
      <c r="B208" s="7">
        <f>SUM(C180:C191)</f>
        <v/>
      </c>
      <c r="C208" s="7">
        <f>SUM(D180:D191)</f>
        <v/>
      </c>
      <c r="D208" s="7">
        <f>B208+C208</f>
        <v/>
      </c>
      <c r="E208" s="7">
        <f>F191</f>
        <v/>
      </c>
    </row>
    <row r="209">
      <c r="A209" t="inlineStr">
        <is>
          <t>An 5</t>
        </is>
      </c>
      <c r="B209" s="7">
        <f>SUM(C192:C203)</f>
        <v/>
      </c>
      <c r="C209" s="7">
        <f>SUM(D192:D203)</f>
        <v/>
      </c>
      <c r="D209" s="7">
        <f>B209+C209</f>
        <v/>
      </c>
      <c r="E209" s="7">
        <f>F203</f>
        <v/>
      </c>
    </row>
    <row r="211">
      <c r="A211" s="2" t="inlineStr">
        <is>
          <t>MRC du Val-Saint-François – FLI / FLS</t>
        </is>
      </c>
    </row>
    <row r="212">
      <c r="A212" t="inlineStr">
        <is>
          <t>Montant</t>
        </is>
      </c>
      <c r="B212" s="7">
        <f>Investissement!B17</f>
        <v/>
      </c>
      <c r="C212" t="inlineStr">
        <is>
          <t>Taux</t>
        </is>
      </c>
      <c r="D212" s="8">
        <f>Investissement!C17</f>
        <v/>
      </c>
      <c r="E212" t="inlineStr">
        <is>
          <t>Amort. (ans)</t>
        </is>
      </c>
      <c r="F212">
        <f>Investissement!D17</f>
        <v/>
      </c>
      <c r="G212" t="inlineStr">
        <is>
          <t>Moratoire (mois)</t>
        </is>
      </c>
      <c r="H212">
        <f>Investissement!E17</f>
        <v/>
      </c>
      <c r="I212" t="inlineStr">
        <is>
          <t>Paiement mensuel</t>
        </is>
      </c>
      <c r="J212" s="7">
        <f>IF(D212=0,B212/(F212*12),PMT(D212/12,F212*12,-B212))</f>
        <v/>
      </c>
    </row>
    <row r="213">
      <c r="A213" s="1" t="inlineStr">
        <is>
          <t>Mois</t>
        </is>
      </c>
      <c r="B213" s="1" t="inlineStr">
        <is>
          <t>Solde début</t>
        </is>
      </c>
      <c r="C213" s="1" t="inlineStr">
        <is>
          <t>Intérêts</t>
        </is>
      </c>
      <c r="D213" s="1" t="inlineStr">
        <is>
          <t>Capital</t>
        </is>
      </c>
      <c r="E213" s="1" t="inlineStr">
        <is>
          <t>Paiement</t>
        </is>
      </c>
      <c r="F213" s="1" t="inlineStr">
        <is>
          <t>Solde fin</t>
        </is>
      </c>
    </row>
    <row r="214">
      <c r="A214" t="n">
        <v>1</v>
      </c>
      <c r="B214" s="7">
        <f>B212</f>
        <v/>
      </c>
      <c r="C214" s="7">
        <f>B214*D$212/12</f>
        <v/>
      </c>
      <c r="D214" s="7">
        <f>IF(A214&lt;=H$212,0,MIN(B214,IF(D$212=0,J$212,J$212-B214*D$212/12)))</f>
        <v/>
      </c>
      <c r="E214" s="7">
        <f>C214+D214</f>
        <v/>
      </c>
      <c r="F214" s="7">
        <f>B214-D214</f>
        <v/>
      </c>
    </row>
    <row r="215">
      <c r="A215" t="n">
        <v>2</v>
      </c>
      <c r="B215" s="7">
        <f>F214</f>
        <v/>
      </c>
      <c r="C215" s="7">
        <f>B215*D$212/12</f>
        <v/>
      </c>
      <c r="D215" s="7">
        <f>IF(A215&lt;=H$212,0,MIN(B215,IF(D$212=0,J$212,J$212-B215*D$212/12)))</f>
        <v/>
      </c>
      <c r="E215" s="7">
        <f>C215+D215</f>
        <v/>
      </c>
      <c r="F215" s="7">
        <f>B215-D215</f>
        <v/>
      </c>
    </row>
    <row r="216">
      <c r="A216" t="n">
        <v>3</v>
      </c>
      <c r="B216" s="7">
        <f>F215</f>
        <v/>
      </c>
      <c r="C216" s="7">
        <f>B216*D$212/12</f>
        <v/>
      </c>
      <c r="D216" s="7">
        <f>IF(A216&lt;=H$212,0,MIN(B216,IF(D$212=0,J$212,J$212-B216*D$212/12)))</f>
        <v/>
      </c>
      <c r="E216" s="7">
        <f>C216+D216</f>
        <v/>
      </c>
      <c r="F216" s="7">
        <f>B216-D216</f>
        <v/>
      </c>
    </row>
    <row r="217">
      <c r="A217" t="n">
        <v>4</v>
      </c>
      <c r="B217" s="7">
        <f>F216</f>
        <v/>
      </c>
      <c r="C217" s="7">
        <f>B217*D$212/12</f>
        <v/>
      </c>
      <c r="D217" s="7">
        <f>IF(A217&lt;=H$212,0,MIN(B217,IF(D$212=0,J$212,J$212-B217*D$212/12)))</f>
        <v/>
      </c>
      <c r="E217" s="7">
        <f>C217+D217</f>
        <v/>
      </c>
      <c r="F217" s="7">
        <f>B217-D217</f>
        <v/>
      </c>
    </row>
    <row r="218">
      <c r="A218" t="n">
        <v>5</v>
      </c>
      <c r="B218" s="7">
        <f>F217</f>
        <v/>
      </c>
      <c r="C218" s="7">
        <f>B218*D$212/12</f>
        <v/>
      </c>
      <c r="D218" s="7">
        <f>IF(A218&lt;=H$212,0,MIN(B218,IF(D$212=0,J$212,J$212-B218*D$212/12)))</f>
        <v/>
      </c>
      <c r="E218" s="7">
        <f>C218+D218</f>
        <v/>
      </c>
      <c r="F218" s="7">
        <f>B218-D218</f>
        <v/>
      </c>
    </row>
    <row r="219">
      <c r="A219" t="n">
        <v>6</v>
      </c>
      <c r="B219" s="7">
        <f>F218</f>
        <v/>
      </c>
      <c r="C219" s="7">
        <f>B219*D$212/12</f>
        <v/>
      </c>
      <c r="D219" s="7">
        <f>IF(A219&lt;=H$212,0,MIN(B219,IF(D$212=0,J$212,J$212-B219*D$212/12)))</f>
        <v/>
      </c>
      <c r="E219" s="7">
        <f>C219+D219</f>
        <v/>
      </c>
      <c r="F219" s="7">
        <f>B219-D219</f>
        <v/>
      </c>
    </row>
    <row r="220">
      <c r="A220" t="n">
        <v>7</v>
      </c>
      <c r="B220" s="7">
        <f>F219</f>
        <v/>
      </c>
      <c r="C220" s="7">
        <f>B220*D$212/12</f>
        <v/>
      </c>
      <c r="D220" s="7">
        <f>IF(A220&lt;=H$212,0,MIN(B220,IF(D$212=0,J$212,J$212-B220*D$212/12)))</f>
        <v/>
      </c>
      <c r="E220" s="7">
        <f>C220+D220</f>
        <v/>
      </c>
      <c r="F220" s="7">
        <f>B220-D220</f>
        <v/>
      </c>
    </row>
    <row r="221">
      <c r="A221" t="n">
        <v>8</v>
      </c>
      <c r="B221" s="7">
        <f>F220</f>
        <v/>
      </c>
      <c r="C221" s="7">
        <f>B221*D$212/12</f>
        <v/>
      </c>
      <c r="D221" s="7">
        <f>IF(A221&lt;=H$212,0,MIN(B221,IF(D$212=0,J$212,J$212-B221*D$212/12)))</f>
        <v/>
      </c>
      <c r="E221" s="7">
        <f>C221+D221</f>
        <v/>
      </c>
      <c r="F221" s="7">
        <f>B221-D221</f>
        <v/>
      </c>
    </row>
    <row r="222">
      <c r="A222" t="n">
        <v>9</v>
      </c>
      <c r="B222" s="7">
        <f>F221</f>
        <v/>
      </c>
      <c r="C222" s="7">
        <f>B222*D$212/12</f>
        <v/>
      </c>
      <c r="D222" s="7">
        <f>IF(A222&lt;=H$212,0,MIN(B222,IF(D$212=0,J$212,J$212-B222*D$212/12)))</f>
        <v/>
      </c>
      <c r="E222" s="7">
        <f>C222+D222</f>
        <v/>
      </c>
      <c r="F222" s="7">
        <f>B222-D222</f>
        <v/>
      </c>
    </row>
    <row r="223">
      <c r="A223" t="n">
        <v>10</v>
      </c>
      <c r="B223" s="7">
        <f>F222</f>
        <v/>
      </c>
      <c r="C223" s="7">
        <f>B223*D$212/12</f>
        <v/>
      </c>
      <c r="D223" s="7">
        <f>IF(A223&lt;=H$212,0,MIN(B223,IF(D$212=0,J$212,J$212-B223*D$212/12)))</f>
        <v/>
      </c>
      <c r="E223" s="7">
        <f>C223+D223</f>
        <v/>
      </c>
      <c r="F223" s="7">
        <f>B223-D223</f>
        <v/>
      </c>
    </row>
    <row r="224">
      <c r="A224" t="n">
        <v>11</v>
      </c>
      <c r="B224" s="7">
        <f>F223</f>
        <v/>
      </c>
      <c r="C224" s="7">
        <f>B224*D$212/12</f>
        <v/>
      </c>
      <c r="D224" s="7">
        <f>IF(A224&lt;=H$212,0,MIN(B224,IF(D$212=0,J$212,J$212-B224*D$212/12)))</f>
        <v/>
      </c>
      <c r="E224" s="7">
        <f>C224+D224</f>
        <v/>
      </c>
      <c r="F224" s="7">
        <f>B224-D224</f>
        <v/>
      </c>
    </row>
    <row r="225">
      <c r="A225" t="n">
        <v>12</v>
      </c>
      <c r="B225" s="7">
        <f>F224</f>
        <v/>
      </c>
      <c r="C225" s="7">
        <f>B225*D$212/12</f>
        <v/>
      </c>
      <c r="D225" s="7">
        <f>IF(A225&lt;=H$212,0,MIN(B225,IF(D$212=0,J$212,J$212-B225*D$212/12)))</f>
        <v/>
      </c>
      <c r="E225" s="7">
        <f>C225+D225</f>
        <v/>
      </c>
      <c r="F225" s="7">
        <f>B225-D225</f>
        <v/>
      </c>
    </row>
    <row r="226">
      <c r="A226" t="n">
        <v>13</v>
      </c>
      <c r="B226" s="7">
        <f>F225</f>
        <v/>
      </c>
      <c r="C226" s="7">
        <f>B226*D$212/12</f>
        <v/>
      </c>
      <c r="D226" s="7">
        <f>IF(A226&lt;=H$212,0,MIN(B226,IF(D$212=0,J$212,J$212-B226*D$212/12)))</f>
        <v/>
      </c>
      <c r="E226" s="7">
        <f>C226+D226</f>
        <v/>
      </c>
      <c r="F226" s="7">
        <f>B226-D226</f>
        <v/>
      </c>
    </row>
    <row r="227">
      <c r="A227" t="n">
        <v>14</v>
      </c>
      <c r="B227" s="7">
        <f>F226</f>
        <v/>
      </c>
      <c r="C227" s="7">
        <f>B227*D$212/12</f>
        <v/>
      </c>
      <c r="D227" s="7">
        <f>IF(A227&lt;=H$212,0,MIN(B227,IF(D$212=0,J$212,J$212-B227*D$212/12)))</f>
        <v/>
      </c>
      <c r="E227" s="7">
        <f>C227+D227</f>
        <v/>
      </c>
      <c r="F227" s="7">
        <f>B227-D227</f>
        <v/>
      </c>
    </row>
    <row r="228">
      <c r="A228" t="n">
        <v>15</v>
      </c>
      <c r="B228" s="7">
        <f>F227</f>
        <v/>
      </c>
      <c r="C228" s="7">
        <f>B228*D$212/12</f>
        <v/>
      </c>
      <c r="D228" s="7">
        <f>IF(A228&lt;=H$212,0,MIN(B228,IF(D$212=0,J$212,J$212-B228*D$212/12)))</f>
        <v/>
      </c>
      <c r="E228" s="7">
        <f>C228+D228</f>
        <v/>
      </c>
      <c r="F228" s="7">
        <f>B228-D228</f>
        <v/>
      </c>
    </row>
    <row r="229">
      <c r="A229" t="n">
        <v>16</v>
      </c>
      <c r="B229" s="7">
        <f>F228</f>
        <v/>
      </c>
      <c r="C229" s="7">
        <f>B229*D$212/12</f>
        <v/>
      </c>
      <c r="D229" s="7">
        <f>IF(A229&lt;=H$212,0,MIN(B229,IF(D$212=0,J$212,J$212-B229*D$212/12)))</f>
        <v/>
      </c>
      <c r="E229" s="7">
        <f>C229+D229</f>
        <v/>
      </c>
      <c r="F229" s="7">
        <f>B229-D229</f>
        <v/>
      </c>
    </row>
    <row r="230">
      <c r="A230" t="n">
        <v>17</v>
      </c>
      <c r="B230" s="7">
        <f>F229</f>
        <v/>
      </c>
      <c r="C230" s="7">
        <f>B230*D$212/12</f>
        <v/>
      </c>
      <c r="D230" s="7">
        <f>IF(A230&lt;=H$212,0,MIN(B230,IF(D$212=0,J$212,J$212-B230*D$212/12)))</f>
        <v/>
      </c>
      <c r="E230" s="7">
        <f>C230+D230</f>
        <v/>
      </c>
      <c r="F230" s="7">
        <f>B230-D230</f>
        <v/>
      </c>
    </row>
    <row r="231">
      <c r="A231" t="n">
        <v>18</v>
      </c>
      <c r="B231" s="7">
        <f>F230</f>
        <v/>
      </c>
      <c r="C231" s="7">
        <f>B231*D$212/12</f>
        <v/>
      </c>
      <c r="D231" s="7">
        <f>IF(A231&lt;=H$212,0,MIN(B231,IF(D$212=0,J$212,J$212-B231*D$212/12)))</f>
        <v/>
      </c>
      <c r="E231" s="7">
        <f>C231+D231</f>
        <v/>
      </c>
      <c r="F231" s="7">
        <f>B231-D231</f>
        <v/>
      </c>
    </row>
    <row r="232">
      <c r="A232" t="n">
        <v>19</v>
      </c>
      <c r="B232" s="7">
        <f>F231</f>
        <v/>
      </c>
      <c r="C232" s="7">
        <f>B232*D$212/12</f>
        <v/>
      </c>
      <c r="D232" s="7">
        <f>IF(A232&lt;=H$212,0,MIN(B232,IF(D$212=0,J$212,J$212-B232*D$212/12)))</f>
        <v/>
      </c>
      <c r="E232" s="7">
        <f>C232+D232</f>
        <v/>
      </c>
      <c r="F232" s="7">
        <f>B232-D232</f>
        <v/>
      </c>
    </row>
    <row r="233">
      <c r="A233" t="n">
        <v>20</v>
      </c>
      <c r="B233" s="7">
        <f>F232</f>
        <v/>
      </c>
      <c r="C233" s="7">
        <f>B233*D$212/12</f>
        <v/>
      </c>
      <c r="D233" s="7">
        <f>IF(A233&lt;=H$212,0,MIN(B233,IF(D$212=0,J$212,J$212-B233*D$212/12)))</f>
        <v/>
      </c>
      <c r="E233" s="7">
        <f>C233+D233</f>
        <v/>
      </c>
      <c r="F233" s="7">
        <f>B233-D233</f>
        <v/>
      </c>
    </row>
    <row r="234">
      <c r="A234" t="n">
        <v>21</v>
      </c>
      <c r="B234" s="7">
        <f>F233</f>
        <v/>
      </c>
      <c r="C234" s="7">
        <f>B234*D$212/12</f>
        <v/>
      </c>
      <c r="D234" s="7">
        <f>IF(A234&lt;=H$212,0,MIN(B234,IF(D$212=0,J$212,J$212-B234*D$212/12)))</f>
        <v/>
      </c>
      <c r="E234" s="7">
        <f>C234+D234</f>
        <v/>
      </c>
      <c r="F234" s="7">
        <f>B234-D234</f>
        <v/>
      </c>
    </row>
    <row r="235">
      <c r="A235" t="n">
        <v>22</v>
      </c>
      <c r="B235" s="7">
        <f>F234</f>
        <v/>
      </c>
      <c r="C235" s="7">
        <f>B235*D$212/12</f>
        <v/>
      </c>
      <c r="D235" s="7">
        <f>IF(A235&lt;=H$212,0,MIN(B235,IF(D$212=0,J$212,J$212-B235*D$212/12)))</f>
        <v/>
      </c>
      <c r="E235" s="7">
        <f>C235+D235</f>
        <v/>
      </c>
      <c r="F235" s="7">
        <f>B235-D235</f>
        <v/>
      </c>
    </row>
    <row r="236">
      <c r="A236" t="n">
        <v>23</v>
      </c>
      <c r="B236" s="7">
        <f>F235</f>
        <v/>
      </c>
      <c r="C236" s="7">
        <f>B236*D$212/12</f>
        <v/>
      </c>
      <c r="D236" s="7">
        <f>IF(A236&lt;=H$212,0,MIN(B236,IF(D$212=0,J$212,J$212-B236*D$212/12)))</f>
        <v/>
      </c>
      <c r="E236" s="7">
        <f>C236+D236</f>
        <v/>
      </c>
      <c r="F236" s="7">
        <f>B236-D236</f>
        <v/>
      </c>
    </row>
    <row r="237">
      <c r="A237" t="n">
        <v>24</v>
      </c>
      <c r="B237" s="7">
        <f>F236</f>
        <v/>
      </c>
      <c r="C237" s="7">
        <f>B237*D$212/12</f>
        <v/>
      </c>
      <c r="D237" s="7">
        <f>IF(A237&lt;=H$212,0,MIN(B237,IF(D$212=0,J$212,J$212-B237*D$212/12)))</f>
        <v/>
      </c>
      <c r="E237" s="7">
        <f>C237+D237</f>
        <v/>
      </c>
      <c r="F237" s="7">
        <f>B237-D237</f>
        <v/>
      </c>
    </row>
    <row r="238">
      <c r="A238" t="n">
        <v>25</v>
      </c>
      <c r="B238" s="7">
        <f>F237</f>
        <v/>
      </c>
      <c r="C238" s="7">
        <f>B238*D$212/12</f>
        <v/>
      </c>
      <c r="D238" s="7">
        <f>IF(A238&lt;=H$212,0,MIN(B238,IF(D$212=0,J$212,J$212-B238*D$212/12)))</f>
        <v/>
      </c>
      <c r="E238" s="7">
        <f>C238+D238</f>
        <v/>
      </c>
      <c r="F238" s="7">
        <f>B238-D238</f>
        <v/>
      </c>
    </row>
    <row r="239">
      <c r="A239" t="n">
        <v>26</v>
      </c>
      <c r="B239" s="7">
        <f>F238</f>
        <v/>
      </c>
      <c r="C239" s="7">
        <f>B239*D$212/12</f>
        <v/>
      </c>
      <c r="D239" s="7">
        <f>IF(A239&lt;=H$212,0,MIN(B239,IF(D$212=0,J$212,J$212-B239*D$212/12)))</f>
        <v/>
      </c>
      <c r="E239" s="7">
        <f>C239+D239</f>
        <v/>
      </c>
      <c r="F239" s="7">
        <f>B239-D239</f>
        <v/>
      </c>
    </row>
    <row r="240">
      <c r="A240" t="n">
        <v>27</v>
      </c>
      <c r="B240" s="7">
        <f>F239</f>
        <v/>
      </c>
      <c r="C240" s="7">
        <f>B240*D$212/12</f>
        <v/>
      </c>
      <c r="D240" s="7">
        <f>IF(A240&lt;=H$212,0,MIN(B240,IF(D$212=0,J$212,J$212-B240*D$212/12)))</f>
        <v/>
      </c>
      <c r="E240" s="7">
        <f>C240+D240</f>
        <v/>
      </c>
      <c r="F240" s="7">
        <f>B240-D240</f>
        <v/>
      </c>
    </row>
    <row r="241">
      <c r="A241" t="n">
        <v>28</v>
      </c>
      <c r="B241" s="7">
        <f>F240</f>
        <v/>
      </c>
      <c r="C241" s="7">
        <f>B241*D$212/12</f>
        <v/>
      </c>
      <c r="D241" s="7">
        <f>IF(A241&lt;=H$212,0,MIN(B241,IF(D$212=0,J$212,J$212-B241*D$212/12)))</f>
        <v/>
      </c>
      <c r="E241" s="7">
        <f>C241+D241</f>
        <v/>
      </c>
      <c r="F241" s="7">
        <f>B241-D241</f>
        <v/>
      </c>
    </row>
    <row r="242">
      <c r="A242" t="n">
        <v>29</v>
      </c>
      <c r="B242" s="7">
        <f>F241</f>
        <v/>
      </c>
      <c r="C242" s="7">
        <f>B242*D$212/12</f>
        <v/>
      </c>
      <c r="D242" s="7">
        <f>IF(A242&lt;=H$212,0,MIN(B242,IF(D$212=0,J$212,J$212-B242*D$212/12)))</f>
        <v/>
      </c>
      <c r="E242" s="7">
        <f>C242+D242</f>
        <v/>
      </c>
      <c r="F242" s="7">
        <f>B242-D242</f>
        <v/>
      </c>
    </row>
    <row r="243">
      <c r="A243" t="n">
        <v>30</v>
      </c>
      <c r="B243" s="7">
        <f>F242</f>
        <v/>
      </c>
      <c r="C243" s="7">
        <f>B243*D$212/12</f>
        <v/>
      </c>
      <c r="D243" s="7">
        <f>IF(A243&lt;=H$212,0,MIN(B243,IF(D$212=0,J$212,J$212-B243*D$212/12)))</f>
        <v/>
      </c>
      <c r="E243" s="7">
        <f>C243+D243</f>
        <v/>
      </c>
      <c r="F243" s="7">
        <f>B243-D243</f>
        <v/>
      </c>
    </row>
    <row r="244">
      <c r="A244" t="n">
        <v>31</v>
      </c>
      <c r="B244" s="7">
        <f>F243</f>
        <v/>
      </c>
      <c r="C244" s="7">
        <f>B244*D$212/12</f>
        <v/>
      </c>
      <c r="D244" s="7">
        <f>IF(A244&lt;=H$212,0,MIN(B244,IF(D$212=0,J$212,J$212-B244*D$212/12)))</f>
        <v/>
      </c>
      <c r="E244" s="7">
        <f>C244+D244</f>
        <v/>
      </c>
      <c r="F244" s="7">
        <f>B244-D244</f>
        <v/>
      </c>
    </row>
    <row r="245">
      <c r="A245" t="n">
        <v>32</v>
      </c>
      <c r="B245" s="7">
        <f>F244</f>
        <v/>
      </c>
      <c r="C245" s="7">
        <f>B245*D$212/12</f>
        <v/>
      </c>
      <c r="D245" s="7">
        <f>IF(A245&lt;=H$212,0,MIN(B245,IF(D$212=0,J$212,J$212-B245*D$212/12)))</f>
        <v/>
      </c>
      <c r="E245" s="7">
        <f>C245+D245</f>
        <v/>
      </c>
      <c r="F245" s="7">
        <f>B245-D245</f>
        <v/>
      </c>
    </row>
    <row r="246">
      <c r="A246" t="n">
        <v>33</v>
      </c>
      <c r="B246" s="7">
        <f>F245</f>
        <v/>
      </c>
      <c r="C246" s="7">
        <f>B246*D$212/12</f>
        <v/>
      </c>
      <c r="D246" s="7">
        <f>IF(A246&lt;=H$212,0,MIN(B246,IF(D$212=0,J$212,J$212-B246*D$212/12)))</f>
        <v/>
      </c>
      <c r="E246" s="7">
        <f>C246+D246</f>
        <v/>
      </c>
      <c r="F246" s="7">
        <f>B246-D246</f>
        <v/>
      </c>
    </row>
    <row r="247">
      <c r="A247" t="n">
        <v>34</v>
      </c>
      <c r="B247" s="7">
        <f>F246</f>
        <v/>
      </c>
      <c r="C247" s="7">
        <f>B247*D$212/12</f>
        <v/>
      </c>
      <c r="D247" s="7">
        <f>IF(A247&lt;=H$212,0,MIN(B247,IF(D$212=0,J$212,J$212-B247*D$212/12)))</f>
        <v/>
      </c>
      <c r="E247" s="7">
        <f>C247+D247</f>
        <v/>
      </c>
      <c r="F247" s="7">
        <f>B247-D247</f>
        <v/>
      </c>
    </row>
    <row r="248">
      <c r="A248" t="n">
        <v>35</v>
      </c>
      <c r="B248" s="7">
        <f>F247</f>
        <v/>
      </c>
      <c r="C248" s="7">
        <f>B248*D$212/12</f>
        <v/>
      </c>
      <c r="D248" s="7">
        <f>IF(A248&lt;=H$212,0,MIN(B248,IF(D$212=0,J$212,J$212-B248*D$212/12)))</f>
        <v/>
      </c>
      <c r="E248" s="7">
        <f>C248+D248</f>
        <v/>
      </c>
      <c r="F248" s="7">
        <f>B248-D248</f>
        <v/>
      </c>
    </row>
    <row r="249">
      <c r="A249" t="n">
        <v>36</v>
      </c>
      <c r="B249" s="7">
        <f>F248</f>
        <v/>
      </c>
      <c r="C249" s="7">
        <f>B249*D$212/12</f>
        <v/>
      </c>
      <c r="D249" s="7">
        <f>IF(A249&lt;=H$212,0,MIN(B249,IF(D$212=0,J$212,J$212-B249*D$212/12)))</f>
        <v/>
      </c>
      <c r="E249" s="7">
        <f>C249+D249</f>
        <v/>
      </c>
      <c r="F249" s="7">
        <f>B249-D249</f>
        <v/>
      </c>
    </row>
    <row r="250">
      <c r="A250" t="n">
        <v>37</v>
      </c>
      <c r="B250" s="7">
        <f>F249</f>
        <v/>
      </c>
      <c r="C250" s="7">
        <f>B250*D$212/12</f>
        <v/>
      </c>
      <c r="D250" s="7">
        <f>IF(A250&lt;=H$212,0,MIN(B250,IF(D$212=0,J$212,J$212-B250*D$212/12)))</f>
        <v/>
      </c>
      <c r="E250" s="7">
        <f>C250+D250</f>
        <v/>
      </c>
      <c r="F250" s="7">
        <f>B250-D250</f>
        <v/>
      </c>
    </row>
    <row r="251">
      <c r="A251" t="n">
        <v>38</v>
      </c>
      <c r="B251" s="7">
        <f>F250</f>
        <v/>
      </c>
      <c r="C251" s="7">
        <f>B251*D$212/12</f>
        <v/>
      </c>
      <c r="D251" s="7">
        <f>IF(A251&lt;=H$212,0,MIN(B251,IF(D$212=0,J$212,J$212-B251*D$212/12)))</f>
        <v/>
      </c>
      <c r="E251" s="7">
        <f>C251+D251</f>
        <v/>
      </c>
      <c r="F251" s="7">
        <f>B251-D251</f>
        <v/>
      </c>
    </row>
    <row r="252">
      <c r="A252" t="n">
        <v>39</v>
      </c>
      <c r="B252" s="7">
        <f>F251</f>
        <v/>
      </c>
      <c r="C252" s="7">
        <f>B252*D$212/12</f>
        <v/>
      </c>
      <c r="D252" s="7">
        <f>IF(A252&lt;=H$212,0,MIN(B252,IF(D$212=0,J$212,J$212-B252*D$212/12)))</f>
        <v/>
      </c>
      <c r="E252" s="7">
        <f>C252+D252</f>
        <v/>
      </c>
      <c r="F252" s="7">
        <f>B252-D252</f>
        <v/>
      </c>
    </row>
    <row r="253">
      <c r="A253" t="n">
        <v>40</v>
      </c>
      <c r="B253" s="7">
        <f>F252</f>
        <v/>
      </c>
      <c r="C253" s="7">
        <f>B253*D$212/12</f>
        <v/>
      </c>
      <c r="D253" s="7">
        <f>IF(A253&lt;=H$212,0,MIN(B253,IF(D$212=0,J$212,J$212-B253*D$212/12)))</f>
        <v/>
      </c>
      <c r="E253" s="7">
        <f>C253+D253</f>
        <v/>
      </c>
      <c r="F253" s="7">
        <f>B253-D253</f>
        <v/>
      </c>
    </row>
    <row r="254">
      <c r="A254" t="n">
        <v>41</v>
      </c>
      <c r="B254" s="7">
        <f>F253</f>
        <v/>
      </c>
      <c r="C254" s="7">
        <f>B254*D$212/12</f>
        <v/>
      </c>
      <c r="D254" s="7">
        <f>IF(A254&lt;=H$212,0,MIN(B254,IF(D$212=0,J$212,J$212-B254*D$212/12)))</f>
        <v/>
      </c>
      <c r="E254" s="7">
        <f>C254+D254</f>
        <v/>
      </c>
      <c r="F254" s="7">
        <f>B254-D254</f>
        <v/>
      </c>
    </row>
    <row r="255">
      <c r="A255" t="n">
        <v>42</v>
      </c>
      <c r="B255" s="7">
        <f>F254</f>
        <v/>
      </c>
      <c r="C255" s="7">
        <f>B255*D$212/12</f>
        <v/>
      </c>
      <c r="D255" s="7">
        <f>IF(A255&lt;=H$212,0,MIN(B255,IF(D$212=0,J$212,J$212-B255*D$212/12)))</f>
        <v/>
      </c>
      <c r="E255" s="7">
        <f>C255+D255</f>
        <v/>
      </c>
      <c r="F255" s="7">
        <f>B255-D255</f>
        <v/>
      </c>
    </row>
    <row r="256">
      <c r="A256" t="n">
        <v>43</v>
      </c>
      <c r="B256" s="7">
        <f>F255</f>
        <v/>
      </c>
      <c r="C256" s="7">
        <f>B256*D$212/12</f>
        <v/>
      </c>
      <c r="D256" s="7">
        <f>IF(A256&lt;=H$212,0,MIN(B256,IF(D$212=0,J$212,J$212-B256*D$212/12)))</f>
        <v/>
      </c>
      <c r="E256" s="7">
        <f>C256+D256</f>
        <v/>
      </c>
      <c r="F256" s="7">
        <f>B256-D256</f>
        <v/>
      </c>
    </row>
    <row r="257">
      <c r="A257" t="n">
        <v>44</v>
      </c>
      <c r="B257" s="7">
        <f>F256</f>
        <v/>
      </c>
      <c r="C257" s="7">
        <f>B257*D$212/12</f>
        <v/>
      </c>
      <c r="D257" s="7">
        <f>IF(A257&lt;=H$212,0,MIN(B257,IF(D$212=0,J$212,J$212-B257*D$212/12)))</f>
        <v/>
      </c>
      <c r="E257" s="7">
        <f>C257+D257</f>
        <v/>
      </c>
      <c r="F257" s="7">
        <f>B257-D257</f>
        <v/>
      </c>
    </row>
    <row r="258">
      <c r="A258" t="n">
        <v>45</v>
      </c>
      <c r="B258" s="7">
        <f>F257</f>
        <v/>
      </c>
      <c r="C258" s="7">
        <f>B258*D$212/12</f>
        <v/>
      </c>
      <c r="D258" s="7">
        <f>IF(A258&lt;=H$212,0,MIN(B258,IF(D$212=0,J$212,J$212-B258*D$212/12)))</f>
        <v/>
      </c>
      <c r="E258" s="7">
        <f>C258+D258</f>
        <v/>
      </c>
      <c r="F258" s="7">
        <f>B258-D258</f>
        <v/>
      </c>
    </row>
    <row r="259">
      <c r="A259" t="n">
        <v>46</v>
      </c>
      <c r="B259" s="7">
        <f>F258</f>
        <v/>
      </c>
      <c r="C259" s="7">
        <f>B259*D$212/12</f>
        <v/>
      </c>
      <c r="D259" s="7">
        <f>IF(A259&lt;=H$212,0,MIN(B259,IF(D$212=0,J$212,J$212-B259*D$212/12)))</f>
        <v/>
      </c>
      <c r="E259" s="7">
        <f>C259+D259</f>
        <v/>
      </c>
      <c r="F259" s="7">
        <f>B259-D259</f>
        <v/>
      </c>
    </row>
    <row r="260">
      <c r="A260" t="n">
        <v>47</v>
      </c>
      <c r="B260" s="7">
        <f>F259</f>
        <v/>
      </c>
      <c r="C260" s="7">
        <f>B260*D$212/12</f>
        <v/>
      </c>
      <c r="D260" s="7">
        <f>IF(A260&lt;=H$212,0,MIN(B260,IF(D$212=0,J$212,J$212-B260*D$212/12)))</f>
        <v/>
      </c>
      <c r="E260" s="7">
        <f>C260+D260</f>
        <v/>
      </c>
      <c r="F260" s="7">
        <f>B260-D260</f>
        <v/>
      </c>
    </row>
    <row r="261">
      <c r="A261" t="n">
        <v>48</v>
      </c>
      <c r="B261" s="7">
        <f>F260</f>
        <v/>
      </c>
      <c r="C261" s="7">
        <f>B261*D$212/12</f>
        <v/>
      </c>
      <c r="D261" s="7">
        <f>IF(A261&lt;=H$212,0,MIN(B261,IF(D$212=0,J$212,J$212-B261*D$212/12)))</f>
        <v/>
      </c>
      <c r="E261" s="7">
        <f>C261+D261</f>
        <v/>
      </c>
      <c r="F261" s="7">
        <f>B261-D261</f>
        <v/>
      </c>
    </row>
    <row r="262">
      <c r="A262" t="n">
        <v>49</v>
      </c>
      <c r="B262" s="7">
        <f>F261</f>
        <v/>
      </c>
      <c r="C262" s="7">
        <f>B262*D$212/12</f>
        <v/>
      </c>
      <c r="D262" s="7">
        <f>IF(A262&lt;=H$212,0,MIN(B262,IF(D$212=0,J$212,J$212-B262*D$212/12)))</f>
        <v/>
      </c>
      <c r="E262" s="7">
        <f>C262+D262</f>
        <v/>
      </c>
      <c r="F262" s="7">
        <f>B262-D262</f>
        <v/>
      </c>
    </row>
    <row r="263">
      <c r="A263" t="n">
        <v>50</v>
      </c>
      <c r="B263" s="7">
        <f>F262</f>
        <v/>
      </c>
      <c r="C263" s="7">
        <f>B263*D$212/12</f>
        <v/>
      </c>
      <c r="D263" s="7">
        <f>IF(A263&lt;=H$212,0,MIN(B263,IF(D$212=0,J$212,J$212-B263*D$212/12)))</f>
        <v/>
      </c>
      <c r="E263" s="7">
        <f>C263+D263</f>
        <v/>
      </c>
      <c r="F263" s="7">
        <f>B263-D263</f>
        <v/>
      </c>
    </row>
    <row r="264">
      <c r="A264" t="n">
        <v>51</v>
      </c>
      <c r="B264" s="7">
        <f>F263</f>
        <v/>
      </c>
      <c r="C264" s="7">
        <f>B264*D$212/12</f>
        <v/>
      </c>
      <c r="D264" s="7">
        <f>IF(A264&lt;=H$212,0,MIN(B264,IF(D$212=0,J$212,J$212-B264*D$212/12)))</f>
        <v/>
      </c>
      <c r="E264" s="7">
        <f>C264+D264</f>
        <v/>
      </c>
      <c r="F264" s="7">
        <f>B264-D264</f>
        <v/>
      </c>
    </row>
    <row r="265">
      <c r="A265" t="n">
        <v>52</v>
      </c>
      <c r="B265" s="7">
        <f>F264</f>
        <v/>
      </c>
      <c r="C265" s="7">
        <f>B265*D$212/12</f>
        <v/>
      </c>
      <c r="D265" s="7">
        <f>IF(A265&lt;=H$212,0,MIN(B265,IF(D$212=0,J$212,J$212-B265*D$212/12)))</f>
        <v/>
      </c>
      <c r="E265" s="7">
        <f>C265+D265</f>
        <v/>
      </c>
      <c r="F265" s="7">
        <f>B265-D265</f>
        <v/>
      </c>
    </row>
    <row r="266">
      <c r="A266" t="n">
        <v>53</v>
      </c>
      <c r="B266" s="7">
        <f>F265</f>
        <v/>
      </c>
      <c r="C266" s="7">
        <f>B266*D$212/12</f>
        <v/>
      </c>
      <c r="D266" s="7">
        <f>IF(A266&lt;=H$212,0,MIN(B266,IF(D$212=0,J$212,J$212-B266*D$212/12)))</f>
        <v/>
      </c>
      <c r="E266" s="7">
        <f>C266+D266</f>
        <v/>
      </c>
      <c r="F266" s="7">
        <f>B266-D266</f>
        <v/>
      </c>
    </row>
    <row r="267">
      <c r="A267" t="n">
        <v>54</v>
      </c>
      <c r="B267" s="7">
        <f>F266</f>
        <v/>
      </c>
      <c r="C267" s="7">
        <f>B267*D$212/12</f>
        <v/>
      </c>
      <c r="D267" s="7">
        <f>IF(A267&lt;=H$212,0,MIN(B267,IF(D$212=0,J$212,J$212-B267*D$212/12)))</f>
        <v/>
      </c>
      <c r="E267" s="7">
        <f>C267+D267</f>
        <v/>
      </c>
      <c r="F267" s="7">
        <f>B267-D267</f>
        <v/>
      </c>
    </row>
    <row r="268">
      <c r="A268" t="n">
        <v>55</v>
      </c>
      <c r="B268" s="7">
        <f>F267</f>
        <v/>
      </c>
      <c r="C268" s="7">
        <f>B268*D$212/12</f>
        <v/>
      </c>
      <c r="D268" s="7">
        <f>IF(A268&lt;=H$212,0,MIN(B268,IF(D$212=0,J$212,J$212-B268*D$212/12)))</f>
        <v/>
      </c>
      <c r="E268" s="7">
        <f>C268+D268</f>
        <v/>
      </c>
      <c r="F268" s="7">
        <f>B268-D268</f>
        <v/>
      </c>
    </row>
    <row r="269">
      <c r="A269" t="n">
        <v>56</v>
      </c>
      <c r="B269" s="7">
        <f>F268</f>
        <v/>
      </c>
      <c r="C269" s="7">
        <f>B269*D$212/12</f>
        <v/>
      </c>
      <c r="D269" s="7">
        <f>IF(A269&lt;=H$212,0,MIN(B269,IF(D$212=0,J$212,J$212-B269*D$212/12)))</f>
        <v/>
      </c>
      <c r="E269" s="7">
        <f>C269+D269</f>
        <v/>
      </c>
      <c r="F269" s="7">
        <f>B269-D269</f>
        <v/>
      </c>
    </row>
    <row r="270">
      <c r="A270" t="n">
        <v>57</v>
      </c>
      <c r="B270" s="7">
        <f>F269</f>
        <v/>
      </c>
      <c r="C270" s="7">
        <f>B270*D$212/12</f>
        <v/>
      </c>
      <c r="D270" s="7">
        <f>IF(A270&lt;=H$212,0,MIN(B270,IF(D$212=0,J$212,J$212-B270*D$212/12)))</f>
        <v/>
      </c>
      <c r="E270" s="7">
        <f>C270+D270</f>
        <v/>
      </c>
      <c r="F270" s="7">
        <f>B270-D270</f>
        <v/>
      </c>
    </row>
    <row r="271">
      <c r="A271" t="n">
        <v>58</v>
      </c>
      <c r="B271" s="7">
        <f>F270</f>
        <v/>
      </c>
      <c r="C271" s="7">
        <f>B271*D$212/12</f>
        <v/>
      </c>
      <c r="D271" s="7">
        <f>IF(A271&lt;=H$212,0,MIN(B271,IF(D$212=0,J$212,J$212-B271*D$212/12)))</f>
        <v/>
      </c>
      <c r="E271" s="7">
        <f>C271+D271</f>
        <v/>
      </c>
      <c r="F271" s="7">
        <f>B271-D271</f>
        <v/>
      </c>
    </row>
    <row r="272">
      <c r="A272" t="n">
        <v>59</v>
      </c>
      <c r="B272" s="7">
        <f>F271</f>
        <v/>
      </c>
      <c r="C272" s="7">
        <f>B272*D$212/12</f>
        <v/>
      </c>
      <c r="D272" s="7">
        <f>IF(A272&lt;=H$212,0,MIN(B272,IF(D$212=0,J$212,J$212-B272*D$212/12)))</f>
        <v/>
      </c>
      <c r="E272" s="7">
        <f>C272+D272</f>
        <v/>
      </c>
      <c r="F272" s="7">
        <f>B272-D272</f>
        <v/>
      </c>
    </row>
    <row r="273">
      <c r="A273" t="n">
        <v>60</v>
      </c>
      <c r="B273" s="7">
        <f>F272</f>
        <v/>
      </c>
      <c r="C273" s="7">
        <f>B273*D$212/12</f>
        <v/>
      </c>
      <c r="D273" s="7">
        <f>IF(A273&lt;=H$212,0,MIN(B273,IF(D$212=0,J$212,J$212-B273*D$212/12)))</f>
        <v/>
      </c>
      <c r="E273" s="7">
        <f>C273+D273</f>
        <v/>
      </c>
      <c r="F273" s="7">
        <f>B273-D273</f>
        <v/>
      </c>
    </row>
    <row r="274">
      <c r="A274" s="1" t="inlineStr">
        <is>
          <t>Année</t>
        </is>
      </c>
      <c r="B274" s="1" t="inlineStr">
        <is>
          <t>Intérêts</t>
        </is>
      </c>
      <c r="C274" s="1" t="inlineStr">
        <is>
          <t>Capital</t>
        </is>
      </c>
      <c r="D274" s="1" t="inlineStr">
        <is>
          <t>Service</t>
        </is>
      </c>
      <c r="E274" s="1" t="inlineStr">
        <is>
          <t>Solde fin</t>
        </is>
      </c>
    </row>
    <row r="275">
      <c r="A275" t="inlineStr">
        <is>
          <t>An 1</t>
        </is>
      </c>
      <c r="B275" s="7">
        <f>SUM(C214:C225)</f>
        <v/>
      </c>
      <c r="C275" s="7">
        <f>SUM(D214:D225)</f>
        <v/>
      </c>
      <c r="D275" s="7">
        <f>B275+C275</f>
        <v/>
      </c>
      <c r="E275" s="7">
        <f>F225</f>
        <v/>
      </c>
    </row>
    <row r="276">
      <c r="A276" t="inlineStr">
        <is>
          <t>An 2</t>
        </is>
      </c>
      <c r="B276" s="7">
        <f>SUM(C226:C237)</f>
        <v/>
      </c>
      <c r="C276" s="7">
        <f>SUM(D226:D237)</f>
        <v/>
      </c>
      <c r="D276" s="7">
        <f>B276+C276</f>
        <v/>
      </c>
      <c r="E276" s="7">
        <f>F237</f>
        <v/>
      </c>
    </row>
    <row r="277">
      <c r="A277" t="inlineStr">
        <is>
          <t>An 3</t>
        </is>
      </c>
      <c r="B277" s="7">
        <f>SUM(C238:C249)</f>
        <v/>
      </c>
      <c r="C277" s="7">
        <f>SUM(D238:D249)</f>
        <v/>
      </c>
      <c r="D277" s="7">
        <f>B277+C277</f>
        <v/>
      </c>
      <c r="E277" s="7">
        <f>F249</f>
        <v/>
      </c>
    </row>
    <row r="278">
      <c r="A278" t="inlineStr">
        <is>
          <t>An 4</t>
        </is>
      </c>
      <c r="B278" s="7">
        <f>SUM(C250:C261)</f>
        <v/>
      </c>
      <c r="C278" s="7">
        <f>SUM(D250:D261)</f>
        <v/>
      </c>
      <c r="D278" s="7">
        <f>B278+C278</f>
        <v/>
      </c>
      <c r="E278" s="7">
        <f>F261</f>
        <v/>
      </c>
    </row>
    <row r="279">
      <c r="A279" t="inlineStr">
        <is>
          <t>An 5</t>
        </is>
      </c>
      <c r="B279" s="7">
        <f>SUM(C262:C273)</f>
        <v/>
      </c>
      <c r="C279" s="7">
        <f>SUM(D262:D273)</f>
        <v/>
      </c>
      <c r="D279" s="7">
        <f>B279+C279</f>
        <v/>
      </c>
      <c r="E279" s="7">
        <f>F273</f>
        <v/>
      </c>
    </row>
    <row r="281">
      <c r="A281" s="2" t="inlineStr">
        <is>
          <t>Construction Prospère – retenue contractuelle subordonnée (10 % des travaux de chantier)</t>
        </is>
      </c>
    </row>
    <row r="282">
      <c r="A282" t="inlineStr">
        <is>
          <t>Montant</t>
        </is>
      </c>
      <c r="B282" s="7">
        <f>Investissement!B18</f>
        <v/>
      </c>
      <c r="C282" t="inlineStr">
        <is>
          <t>Taux</t>
        </is>
      </c>
      <c r="D282" s="8">
        <f>Investissement!C18</f>
        <v/>
      </c>
      <c r="E282" t="inlineStr">
        <is>
          <t>Amort. (ans)</t>
        </is>
      </c>
      <c r="F282">
        <f>Investissement!D18</f>
        <v/>
      </c>
      <c r="G282" t="inlineStr">
        <is>
          <t>Moratoire (mois)</t>
        </is>
      </c>
      <c r="H282">
        <f>Investissement!E18</f>
        <v/>
      </c>
      <c r="I282" t="inlineStr">
        <is>
          <t>Paiement mensuel</t>
        </is>
      </c>
      <c r="J282" s="7">
        <f>IF(D282=0,B282/(F282*12),PMT(D282/12,F282*12,-B282))</f>
        <v/>
      </c>
    </row>
    <row r="283">
      <c r="A283" s="1" t="inlineStr">
        <is>
          <t>Mois</t>
        </is>
      </c>
      <c r="B283" s="1" t="inlineStr">
        <is>
          <t>Solde début</t>
        </is>
      </c>
      <c r="C283" s="1" t="inlineStr">
        <is>
          <t>Intérêts</t>
        </is>
      </c>
      <c r="D283" s="1" t="inlineStr">
        <is>
          <t>Capital</t>
        </is>
      </c>
      <c r="E283" s="1" t="inlineStr">
        <is>
          <t>Paiement</t>
        </is>
      </c>
      <c r="F283" s="1" t="inlineStr">
        <is>
          <t>Solde fin</t>
        </is>
      </c>
    </row>
    <row r="284">
      <c r="A284" t="n">
        <v>1</v>
      </c>
      <c r="B284" s="7">
        <f>B282</f>
        <v/>
      </c>
      <c r="C284" s="7">
        <f>B284*D$282/12</f>
        <v/>
      </c>
      <c r="D284" s="7">
        <f>IF(A284&lt;=H$282,0,MIN(B284,IF(D$282=0,J$282,J$282-B284*D$282/12)))</f>
        <v/>
      </c>
      <c r="E284" s="7">
        <f>C284+D284</f>
        <v/>
      </c>
      <c r="F284" s="7">
        <f>B284-D284</f>
        <v/>
      </c>
    </row>
    <row r="285">
      <c r="A285" t="n">
        <v>2</v>
      </c>
      <c r="B285" s="7">
        <f>F284</f>
        <v/>
      </c>
      <c r="C285" s="7">
        <f>B285*D$282/12</f>
        <v/>
      </c>
      <c r="D285" s="7">
        <f>IF(A285&lt;=H$282,0,MIN(B285,IF(D$282=0,J$282,J$282-B285*D$282/12)))</f>
        <v/>
      </c>
      <c r="E285" s="7">
        <f>C285+D285</f>
        <v/>
      </c>
      <c r="F285" s="7">
        <f>B285-D285</f>
        <v/>
      </c>
    </row>
    <row r="286">
      <c r="A286" t="n">
        <v>3</v>
      </c>
      <c r="B286" s="7">
        <f>F285</f>
        <v/>
      </c>
      <c r="C286" s="7">
        <f>B286*D$282/12</f>
        <v/>
      </c>
      <c r="D286" s="7">
        <f>IF(A286&lt;=H$282,0,MIN(B286,IF(D$282=0,J$282,J$282-B286*D$282/12)))</f>
        <v/>
      </c>
      <c r="E286" s="7">
        <f>C286+D286</f>
        <v/>
      </c>
      <c r="F286" s="7">
        <f>B286-D286</f>
        <v/>
      </c>
    </row>
    <row r="287">
      <c r="A287" t="n">
        <v>4</v>
      </c>
      <c r="B287" s="7">
        <f>F286</f>
        <v/>
      </c>
      <c r="C287" s="7">
        <f>B287*D$282/12</f>
        <v/>
      </c>
      <c r="D287" s="7">
        <f>IF(A287&lt;=H$282,0,MIN(B287,IF(D$282=0,J$282,J$282-B287*D$282/12)))</f>
        <v/>
      </c>
      <c r="E287" s="7">
        <f>C287+D287</f>
        <v/>
      </c>
      <c r="F287" s="7">
        <f>B287-D287</f>
        <v/>
      </c>
    </row>
    <row r="288">
      <c r="A288" t="n">
        <v>5</v>
      </c>
      <c r="B288" s="7">
        <f>F287</f>
        <v/>
      </c>
      <c r="C288" s="7">
        <f>B288*D$282/12</f>
        <v/>
      </c>
      <c r="D288" s="7">
        <f>IF(A288&lt;=H$282,0,MIN(B288,IF(D$282=0,J$282,J$282-B288*D$282/12)))</f>
        <v/>
      </c>
      <c r="E288" s="7">
        <f>C288+D288</f>
        <v/>
      </c>
      <c r="F288" s="7">
        <f>B288-D288</f>
        <v/>
      </c>
    </row>
    <row r="289">
      <c r="A289" t="n">
        <v>6</v>
      </c>
      <c r="B289" s="7">
        <f>F288</f>
        <v/>
      </c>
      <c r="C289" s="7">
        <f>B289*D$282/12</f>
        <v/>
      </c>
      <c r="D289" s="7">
        <f>IF(A289&lt;=H$282,0,MIN(B289,IF(D$282=0,J$282,J$282-B289*D$282/12)))</f>
        <v/>
      </c>
      <c r="E289" s="7">
        <f>C289+D289</f>
        <v/>
      </c>
      <c r="F289" s="7">
        <f>B289-D289</f>
        <v/>
      </c>
    </row>
    <row r="290">
      <c r="A290" t="n">
        <v>7</v>
      </c>
      <c r="B290" s="7">
        <f>F289</f>
        <v/>
      </c>
      <c r="C290" s="7">
        <f>B290*D$282/12</f>
        <v/>
      </c>
      <c r="D290" s="7">
        <f>IF(A290&lt;=H$282,0,MIN(B290,IF(D$282=0,J$282,J$282-B290*D$282/12)))</f>
        <v/>
      </c>
      <c r="E290" s="7">
        <f>C290+D290</f>
        <v/>
      </c>
      <c r="F290" s="7">
        <f>B290-D290</f>
        <v/>
      </c>
    </row>
    <row r="291">
      <c r="A291" t="n">
        <v>8</v>
      </c>
      <c r="B291" s="7">
        <f>F290</f>
        <v/>
      </c>
      <c r="C291" s="7">
        <f>B291*D$282/12</f>
        <v/>
      </c>
      <c r="D291" s="7">
        <f>IF(A291&lt;=H$282,0,MIN(B291,IF(D$282=0,J$282,J$282-B291*D$282/12)))</f>
        <v/>
      </c>
      <c r="E291" s="7">
        <f>C291+D291</f>
        <v/>
      </c>
      <c r="F291" s="7">
        <f>B291-D291</f>
        <v/>
      </c>
    </row>
    <row r="292">
      <c r="A292" t="n">
        <v>9</v>
      </c>
      <c r="B292" s="7">
        <f>F291</f>
        <v/>
      </c>
      <c r="C292" s="7">
        <f>B292*D$282/12</f>
        <v/>
      </c>
      <c r="D292" s="7">
        <f>IF(A292&lt;=H$282,0,MIN(B292,IF(D$282=0,J$282,J$282-B292*D$282/12)))</f>
        <v/>
      </c>
      <c r="E292" s="7">
        <f>C292+D292</f>
        <v/>
      </c>
      <c r="F292" s="7">
        <f>B292-D292</f>
        <v/>
      </c>
    </row>
    <row r="293">
      <c r="A293" t="n">
        <v>10</v>
      </c>
      <c r="B293" s="7">
        <f>F292</f>
        <v/>
      </c>
      <c r="C293" s="7">
        <f>B293*D$282/12</f>
        <v/>
      </c>
      <c r="D293" s="7">
        <f>IF(A293&lt;=H$282,0,MIN(B293,IF(D$282=0,J$282,J$282-B293*D$282/12)))</f>
        <v/>
      </c>
      <c r="E293" s="7">
        <f>C293+D293</f>
        <v/>
      </c>
      <c r="F293" s="7">
        <f>B293-D293</f>
        <v/>
      </c>
    </row>
    <row r="294">
      <c r="A294" t="n">
        <v>11</v>
      </c>
      <c r="B294" s="7">
        <f>F293</f>
        <v/>
      </c>
      <c r="C294" s="7">
        <f>B294*D$282/12</f>
        <v/>
      </c>
      <c r="D294" s="7">
        <f>IF(A294&lt;=H$282,0,MIN(B294,IF(D$282=0,J$282,J$282-B294*D$282/12)))</f>
        <v/>
      </c>
      <c r="E294" s="7">
        <f>C294+D294</f>
        <v/>
      </c>
      <c r="F294" s="7">
        <f>B294-D294</f>
        <v/>
      </c>
    </row>
    <row r="295">
      <c r="A295" t="n">
        <v>12</v>
      </c>
      <c r="B295" s="7">
        <f>F294</f>
        <v/>
      </c>
      <c r="C295" s="7">
        <f>B295*D$282/12</f>
        <v/>
      </c>
      <c r="D295" s="7">
        <f>IF(A295&lt;=H$282,0,MIN(B295,IF(D$282=0,J$282,J$282-B295*D$282/12)))</f>
        <v/>
      </c>
      <c r="E295" s="7">
        <f>C295+D295</f>
        <v/>
      </c>
      <c r="F295" s="7">
        <f>B295-D295</f>
        <v/>
      </c>
    </row>
    <row r="296">
      <c r="A296" t="n">
        <v>13</v>
      </c>
      <c r="B296" s="7">
        <f>F295</f>
        <v/>
      </c>
      <c r="C296" s="7">
        <f>B296*D$282/12</f>
        <v/>
      </c>
      <c r="D296" s="7">
        <f>IF(A296&lt;=H$282,0,MIN(B296,IF(D$282=0,J$282,J$282-B296*D$282/12)))</f>
        <v/>
      </c>
      <c r="E296" s="7">
        <f>C296+D296</f>
        <v/>
      </c>
      <c r="F296" s="7">
        <f>B296-D296</f>
        <v/>
      </c>
    </row>
    <row r="297">
      <c r="A297" t="n">
        <v>14</v>
      </c>
      <c r="B297" s="7">
        <f>F296</f>
        <v/>
      </c>
      <c r="C297" s="7">
        <f>B297*D$282/12</f>
        <v/>
      </c>
      <c r="D297" s="7">
        <f>IF(A297&lt;=H$282,0,MIN(B297,IF(D$282=0,J$282,J$282-B297*D$282/12)))</f>
        <v/>
      </c>
      <c r="E297" s="7">
        <f>C297+D297</f>
        <v/>
      </c>
      <c r="F297" s="7">
        <f>B297-D297</f>
        <v/>
      </c>
    </row>
    <row r="298">
      <c r="A298" t="n">
        <v>15</v>
      </c>
      <c r="B298" s="7">
        <f>F297</f>
        <v/>
      </c>
      <c r="C298" s="7">
        <f>B298*D$282/12</f>
        <v/>
      </c>
      <c r="D298" s="7">
        <f>IF(A298&lt;=H$282,0,MIN(B298,IF(D$282=0,J$282,J$282-B298*D$282/12)))</f>
        <v/>
      </c>
      <c r="E298" s="7">
        <f>C298+D298</f>
        <v/>
      </c>
      <c r="F298" s="7">
        <f>B298-D298</f>
        <v/>
      </c>
    </row>
    <row r="299">
      <c r="A299" t="n">
        <v>16</v>
      </c>
      <c r="B299" s="7">
        <f>F298</f>
        <v/>
      </c>
      <c r="C299" s="7">
        <f>B299*D$282/12</f>
        <v/>
      </c>
      <c r="D299" s="7">
        <f>IF(A299&lt;=H$282,0,MIN(B299,IF(D$282=0,J$282,J$282-B299*D$282/12)))</f>
        <v/>
      </c>
      <c r="E299" s="7">
        <f>C299+D299</f>
        <v/>
      </c>
      <c r="F299" s="7">
        <f>B299-D299</f>
        <v/>
      </c>
    </row>
    <row r="300">
      <c r="A300" t="n">
        <v>17</v>
      </c>
      <c r="B300" s="7">
        <f>F299</f>
        <v/>
      </c>
      <c r="C300" s="7">
        <f>B300*D$282/12</f>
        <v/>
      </c>
      <c r="D300" s="7">
        <f>IF(A300&lt;=H$282,0,MIN(B300,IF(D$282=0,J$282,J$282-B300*D$282/12)))</f>
        <v/>
      </c>
      <c r="E300" s="7">
        <f>C300+D300</f>
        <v/>
      </c>
      <c r="F300" s="7">
        <f>B300-D300</f>
        <v/>
      </c>
    </row>
    <row r="301">
      <c r="A301" t="n">
        <v>18</v>
      </c>
      <c r="B301" s="7">
        <f>F300</f>
        <v/>
      </c>
      <c r="C301" s="7">
        <f>B301*D$282/12</f>
        <v/>
      </c>
      <c r="D301" s="7">
        <f>IF(A301&lt;=H$282,0,MIN(B301,IF(D$282=0,J$282,J$282-B301*D$282/12)))</f>
        <v/>
      </c>
      <c r="E301" s="7">
        <f>C301+D301</f>
        <v/>
      </c>
      <c r="F301" s="7">
        <f>B301-D301</f>
        <v/>
      </c>
    </row>
    <row r="302">
      <c r="A302" t="n">
        <v>19</v>
      </c>
      <c r="B302" s="7">
        <f>F301</f>
        <v/>
      </c>
      <c r="C302" s="7">
        <f>B302*D$282/12</f>
        <v/>
      </c>
      <c r="D302" s="7">
        <f>IF(A302&lt;=H$282,0,MIN(B302,IF(D$282=0,J$282,J$282-B302*D$282/12)))</f>
        <v/>
      </c>
      <c r="E302" s="7">
        <f>C302+D302</f>
        <v/>
      </c>
      <c r="F302" s="7">
        <f>B302-D302</f>
        <v/>
      </c>
    </row>
    <row r="303">
      <c r="A303" t="n">
        <v>20</v>
      </c>
      <c r="B303" s="7">
        <f>F302</f>
        <v/>
      </c>
      <c r="C303" s="7">
        <f>B303*D$282/12</f>
        <v/>
      </c>
      <c r="D303" s="7">
        <f>IF(A303&lt;=H$282,0,MIN(B303,IF(D$282=0,J$282,J$282-B303*D$282/12)))</f>
        <v/>
      </c>
      <c r="E303" s="7">
        <f>C303+D303</f>
        <v/>
      </c>
      <c r="F303" s="7">
        <f>B303-D303</f>
        <v/>
      </c>
    </row>
    <row r="304">
      <c r="A304" t="n">
        <v>21</v>
      </c>
      <c r="B304" s="7">
        <f>F303</f>
        <v/>
      </c>
      <c r="C304" s="7">
        <f>B304*D$282/12</f>
        <v/>
      </c>
      <c r="D304" s="7">
        <f>IF(A304&lt;=H$282,0,MIN(B304,IF(D$282=0,J$282,J$282-B304*D$282/12)))</f>
        <v/>
      </c>
      <c r="E304" s="7">
        <f>C304+D304</f>
        <v/>
      </c>
      <c r="F304" s="7">
        <f>B304-D304</f>
        <v/>
      </c>
    </row>
    <row r="305">
      <c r="A305" t="n">
        <v>22</v>
      </c>
      <c r="B305" s="7">
        <f>F304</f>
        <v/>
      </c>
      <c r="C305" s="7">
        <f>B305*D$282/12</f>
        <v/>
      </c>
      <c r="D305" s="7">
        <f>IF(A305&lt;=H$282,0,MIN(B305,IF(D$282=0,J$282,J$282-B305*D$282/12)))</f>
        <v/>
      </c>
      <c r="E305" s="7">
        <f>C305+D305</f>
        <v/>
      </c>
      <c r="F305" s="7">
        <f>B305-D305</f>
        <v/>
      </c>
    </row>
    <row r="306">
      <c r="A306" t="n">
        <v>23</v>
      </c>
      <c r="B306" s="7">
        <f>F305</f>
        <v/>
      </c>
      <c r="C306" s="7">
        <f>B306*D$282/12</f>
        <v/>
      </c>
      <c r="D306" s="7">
        <f>IF(A306&lt;=H$282,0,MIN(B306,IF(D$282=0,J$282,J$282-B306*D$282/12)))</f>
        <v/>
      </c>
      <c r="E306" s="7">
        <f>C306+D306</f>
        <v/>
      </c>
      <c r="F306" s="7">
        <f>B306-D306</f>
        <v/>
      </c>
    </row>
    <row r="307">
      <c r="A307" t="n">
        <v>24</v>
      </c>
      <c r="B307" s="7">
        <f>F306</f>
        <v/>
      </c>
      <c r="C307" s="7">
        <f>B307*D$282/12</f>
        <v/>
      </c>
      <c r="D307" s="7">
        <f>IF(A307&lt;=H$282,0,MIN(B307,IF(D$282=0,J$282,J$282-B307*D$282/12)))</f>
        <v/>
      </c>
      <c r="E307" s="7">
        <f>C307+D307</f>
        <v/>
      </c>
      <c r="F307" s="7">
        <f>B307-D307</f>
        <v/>
      </c>
    </row>
    <row r="308">
      <c r="A308" t="n">
        <v>25</v>
      </c>
      <c r="B308" s="7">
        <f>F307</f>
        <v/>
      </c>
      <c r="C308" s="7">
        <f>B308*D$282/12</f>
        <v/>
      </c>
      <c r="D308" s="7">
        <f>IF(A308&lt;=H$282,0,MIN(B308,IF(D$282=0,J$282,J$282-B308*D$282/12)))</f>
        <v/>
      </c>
      <c r="E308" s="7">
        <f>C308+D308</f>
        <v/>
      </c>
      <c r="F308" s="7">
        <f>B308-D308</f>
        <v/>
      </c>
    </row>
    <row r="309">
      <c r="A309" t="n">
        <v>26</v>
      </c>
      <c r="B309" s="7">
        <f>F308</f>
        <v/>
      </c>
      <c r="C309" s="7">
        <f>B309*D$282/12</f>
        <v/>
      </c>
      <c r="D309" s="7">
        <f>IF(A309&lt;=H$282,0,MIN(B309,IF(D$282=0,J$282,J$282-B309*D$282/12)))</f>
        <v/>
      </c>
      <c r="E309" s="7">
        <f>C309+D309</f>
        <v/>
      </c>
      <c r="F309" s="7">
        <f>B309-D309</f>
        <v/>
      </c>
    </row>
    <row r="310">
      <c r="A310" t="n">
        <v>27</v>
      </c>
      <c r="B310" s="7">
        <f>F309</f>
        <v/>
      </c>
      <c r="C310" s="7">
        <f>B310*D$282/12</f>
        <v/>
      </c>
      <c r="D310" s="7">
        <f>IF(A310&lt;=H$282,0,MIN(B310,IF(D$282=0,J$282,J$282-B310*D$282/12)))</f>
        <v/>
      </c>
      <c r="E310" s="7">
        <f>C310+D310</f>
        <v/>
      </c>
      <c r="F310" s="7">
        <f>B310-D310</f>
        <v/>
      </c>
    </row>
    <row r="311">
      <c r="A311" t="n">
        <v>28</v>
      </c>
      <c r="B311" s="7">
        <f>F310</f>
        <v/>
      </c>
      <c r="C311" s="7">
        <f>B311*D$282/12</f>
        <v/>
      </c>
      <c r="D311" s="7">
        <f>IF(A311&lt;=H$282,0,MIN(B311,IF(D$282=0,J$282,J$282-B311*D$282/12)))</f>
        <v/>
      </c>
      <c r="E311" s="7">
        <f>C311+D311</f>
        <v/>
      </c>
      <c r="F311" s="7">
        <f>B311-D311</f>
        <v/>
      </c>
    </row>
    <row r="312">
      <c r="A312" t="n">
        <v>29</v>
      </c>
      <c r="B312" s="7">
        <f>F311</f>
        <v/>
      </c>
      <c r="C312" s="7">
        <f>B312*D$282/12</f>
        <v/>
      </c>
      <c r="D312" s="7">
        <f>IF(A312&lt;=H$282,0,MIN(B312,IF(D$282=0,J$282,J$282-B312*D$282/12)))</f>
        <v/>
      </c>
      <c r="E312" s="7">
        <f>C312+D312</f>
        <v/>
      </c>
      <c r="F312" s="7">
        <f>B312-D312</f>
        <v/>
      </c>
    </row>
    <row r="313">
      <c r="A313" t="n">
        <v>30</v>
      </c>
      <c r="B313" s="7">
        <f>F312</f>
        <v/>
      </c>
      <c r="C313" s="7">
        <f>B313*D$282/12</f>
        <v/>
      </c>
      <c r="D313" s="7">
        <f>IF(A313&lt;=H$282,0,MIN(B313,IF(D$282=0,J$282,J$282-B313*D$282/12)))</f>
        <v/>
      </c>
      <c r="E313" s="7">
        <f>C313+D313</f>
        <v/>
      </c>
      <c r="F313" s="7">
        <f>B313-D313</f>
        <v/>
      </c>
    </row>
    <row r="314">
      <c r="A314" t="n">
        <v>31</v>
      </c>
      <c r="B314" s="7">
        <f>F313</f>
        <v/>
      </c>
      <c r="C314" s="7">
        <f>B314*D$282/12</f>
        <v/>
      </c>
      <c r="D314" s="7">
        <f>IF(A314&lt;=H$282,0,MIN(B314,IF(D$282=0,J$282,J$282-B314*D$282/12)))</f>
        <v/>
      </c>
      <c r="E314" s="7">
        <f>C314+D314</f>
        <v/>
      </c>
      <c r="F314" s="7">
        <f>B314-D314</f>
        <v/>
      </c>
    </row>
    <row r="315">
      <c r="A315" t="n">
        <v>32</v>
      </c>
      <c r="B315" s="7">
        <f>F314</f>
        <v/>
      </c>
      <c r="C315" s="7">
        <f>B315*D$282/12</f>
        <v/>
      </c>
      <c r="D315" s="7">
        <f>IF(A315&lt;=H$282,0,MIN(B315,IF(D$282=0,J$282,J$282-B315*D$282/12)))</f>
        <v/>
      </c>
      <c r="E315" s="7">
        <f>C315+D315</f>
        <v/>
      </c>
      <c r="F315" s="7">
        <f>B315-D315</f>
        <v/>
      </c>
    </row>
    <row r="316">
      <c r="A316" t="n">
        <v>33</v>
      </c>
      <c r="B316" s="7">
        <f>F315</f>
        <v/>
      </c>
      <c r="C316" s="7">
        <f>B316*D$282/12</f>
        <v/>
      </c>
      <c r="D316" s="7">
        <f>IF(A316&lt;=H$282,0,MIN(B316,IF(D$282=0,J$282,J$282-B316*D$282/12)))</f>
        <v/>
      </c>
      <c r="E316" s="7">
        <f>C316+D316</f>
        <v/>
      </c>
      <c r="F316" s="7">
        <f>B316-D316</f>
        <v/>
      </c>
    </row>
    <row r="317">
      <c r="A317" t="n">
        <v>34</v>
      </c>
      <c r="B317" s="7">
        <f>F316</f>
        <v/>
      </c>
      <c r="C317" s="7">
        <f>B317*D$282/12</f>
        <v/>
      </c>
      <c r="D317" s="7">
        <f>IF(A317&lt;=H$282,0,MIN(B317,IF(D$282=0,J$282,J$282-B317*D$282/12)))</f>
        <v/>
      </c>
      <c r="E317" s="7">
        <f>C317+D317</f>
        <v/>
      </c>
      <c r="F317" s="7">
        <f>B317-D317</f>
        <v/>
      </c>
    </row>
    <row r="318">
      <c r="A318" t="n">
        <v>35</v>
      </c>
      <c r="B318" s="7">
        <f>F317</f>
        <v/>
      </c>
      <c r="C318" s="7">
        <f>B318*D$282/12</f>
        <v/>
      </c>
      <c r="D318" s="7">
        <f>IF(A318&lt;=H$282,0,MIN(B318,IF(D$282=0,J$282,J$282-B318*D$282/12)))</f>
        <v/>
      </c>
      <c r="E318" s="7">
        <f>C318+D318</f>
        <v/>
      </c>
      <c r="F318" s="7">
        <f>B318-D318</f>
        <v/>
      </c>
    </row>
    <row r="319">
      <c r="A319" t="n">
        <v>36</v>
      </c>
      <c r="B319" s="7">
        <f>F318</f>
        <v/>
      </c>
      <c r="C319" s="7">
        <f>B319*D$282/12</f>
        <v/>
      </c>
      <c r="D319" s="7">
        <f>IF(A319&lt;=H$282,0,MIN(B319,IF(D$282=0,J$282,J$282-B319*D$282/12)))</f>
        <v/>
      </c>
      <c r="E319" s="7">
        <f>C319+D319</f>
        <v/>
      </c>
      <c r="F319" s="7">
        <f>B319-D319</f>
        <v/>
      </c>
    </row>
    <row r="320">
      <c r="A320" t="n">
        <v>37</v>
      </c>
      <c r="B320" s="7">
        <f>F319</f>
        <v/>
      </c>
      <c r="C320" s="7">
        <f>B320*D$282/12</f>
        <v/>
      </c>
      <c r="D320" s="7">
        <f>IF(A320&lt;=H$282,0,MIN(B320,IF(D$282=0,J$282,J$282-B320*D$282/12)))</f>
        <v/>
      </c>
      <c r="E320" s="7">
        <f>C320+D320</f>
        <v/>
      </c>
      <c r="F320" s="7">
        <f>B320-D320</f>
        <v/>
      </c>
    </row>
    <row r="321">
      <c r="A321" t="n">
        <v>38</v>
      </c>
      <c r="B321" s="7">
        <f>F320</f>
        <v/>
      </c>
      <c r="C321" s="7">
        <f>B321*D$282/12</f>
        <v/>
      </c>
      <c r="D321" s="7">
        <f>IF(A321&lt;=H$282,0,MIN(B321,IF(D$282=0,J$282,J$282-B321*D$282/12)))</f>
        <v/>
      </c>
      <c r="E321" s="7">
        <f>C321+D321</f>
        <v/>
      </c>
      <c r="F321" s="7">
        <f>B321-D321</f>
        <v/>
      </c>
    </row>
    <row r="322">
      <c r="A322" t="n">
        <v>39</v>
      </c>
      <c r="B322" s="7">
        <f>F321</f>
        <v/>
      </c>
      <c r="C322" s="7">
        <f>B322*D$282/12</f>
        <v/>
      </c>
      <c r="D322" s="7">
        <f>IF(A322&lt;=H$282,0,MIN(B322,IF(D$282=0,J$282,J$282-B322*D$282/12)))</f>
        <v/>
      </c>
      <c r="E322" s="7">
        <f>C322+D322</f>
        <v/>
      </c>
      <c r="F322" s="7">
        <f>B322-D322</f>
        <v/>
      </c>
    </row>
    <row r="323">
      <c r="A323" t="n">
        <v>40</v>
      </c>
      <c r="B323" s="7">
        <f>F322</f>
        <v/>
      </c>
      <c r="C323" s="7">
        <f>B323*D$282/12</f>
        <v/>
      </c>
      <c r="D323" s="7">
        <f>IF(A323&lt;=H$282,0,MIN(B323,IF(D$282=0,J$282,J$282-B323*D$282/12)))</f>
        <v/>
      </c>
      <c r="E323" s="7">
        <f>C323+D323</f>
        <v/>
      </c>
      <c r="F323" s="7">
        <f>B323-D323</f>
        <v/>
      </c>
    </row>
    <row r="324">
      <c r="A324" t="n">
        <v>41</v>
      </c>
      <c r="B324" s="7">
        <f>F323</f>
        <v/>
      </c>
      <c r="C324" s="7">
        <f>B324*D$282/12</f>
        <v/>
      </c>
      <c r="D324" s="7">
        <f>IF(A324&lt;=H$282,0,MIN(B324,IF(D$282=0,J$282,J$282-B324*D$282/12)))</f>
        <v/>
      </c>
      <c r="E324" s="7">
        <f>C324+D324</f>
        <v/>
      </c>
      <c r="F324" s="7">
        <f>B324-D324</f>
        <v/>
      </c>
    </row>
    <row r="325">
      <c r="A325" t="n">
        <v>42</v>
      </c>
      <c r="B325" s="7">
        <f>F324</f>
        <v/>
      </c>
      <c r="C325" s="7">
        <f>B325*D$282/12</f>
        <v/>
      </c>
      <c r="D325" s="7">
        <f>IF(A325&lt;=H$282,0,MIN(B325,IF(D$282=0,J$282,J$282-B325*D$282/12)))</f>
        <v/>
      </c>
      <c r="E325" s="7">
        <f>C325+D325</f>
        <v/>
      </c>
      <c r="F325" s="7">
        <f>B325-D325</f>
        <v/>
      </c>
    </row>
    <row r="326">
      <c r="A326" t="n">
        <v>43</v>
      </c>
      <c r="B326" s="7">
        <f>F325</f>
        <v/>
      </c>
      <c r="C326" s="7">
        <f>B326*D$282/12</f>
        <v/>
      </c>
      <c r="D326" s="7">
        <f>IF(A326&lt;=H$282,0,MIN(B326,IF(D$282=0,J$282,J$282-B326*D$282/12)))</f>
        <v/>
      </c>
      <c r="E326" s="7">
        <f>C326+D326</f>
        <v/>
      </c>
      <c r="F326" s="7">
        <f>B326-D326</f>
        <v/>
      </c>
    </row>
    <row r="327">
      <c r="A327" t="n">
        <v>44</v>
      </c>
      <c r="B327" s="7">
        <f>F326</f>
        <v/>
      </c>
      <c r="C327" s="7">
        <f>B327*D$282/12</f>
        <v/>
      </c>
      <c r="D327" s="7">
        <f>IF(A327&lt;=H$282,0,MIN(B327,IF(D$282=0,J$282,J$282-B327*D$282/12)))</f>
        <v/>
      </c>
      <c r="E327" s="7">
        <f>C327+D327</f>
        <v/>
      </c>
      <c r="F327" s="7">
        <f>B327-D327</f>
        <v/>
      </c>
    </row>
    <row r="328">
      <c r="A328" t="n">
        <v>45</v>
      </c>
      <c r="B328" s="7">
        <f>F327</f>
        <v/>
      </c>
      <c r="C328" s="7">
        <f>B328*D$282/12</f>
        <v/>
      </c>
      <c r="D328" s="7">
        <f>IF(A328&lt;=H$282,0,MIN(B328,IF(D$282=0,J$282,J$282-B328*D$282/12)))</f>
        <v/>
      </c>
      <c r="E328" s="7">
        <f>C328+D328</f>
        <v/>
      </c>
      <c r="F328" s="7">
        <f>B328-D328</f>
        <v/>
      </c>
    </row>
    <row r="329">
      <c r="A329" t="n">
        <v>46</v>
      </c>
      <c r="B329" s="7">
        <f>F328</f>
        <v/>
      </c>
      <c r="C329" s="7">
        <f>B329*D$282/12</f>
        <v/>
      </c>
      <c r="D329" s="7">
        <f>IF(A329&lt;=H$282,0,MIN(B329,IF(D$282=0,J$282,J$282-B329*D$282/12)))</f>
        <v/>
      </c>
      <c r="E329" s="7">
        <f>C329+D329</f>
        <v/>
      </c>
      <c r="F329" s="7">
        <f>B329-D329</f>
        <v/>
      </c>
    </row>
    <row r="330">
      <c r="A330" t="n">
        <v>47</v>
      </c>
      <c r="B330" s="7">
        <f>F329</f>
        <v/>
      </c>
      <c r="C330" s="7">
        <f>B330*D$282/12</f>
        <v/>
      </c>
      <c r="D330" s="7">
        <f>IF(A330&lt;=H$282,0,MIN(B330,IF(D$282=0,J$282,J$282-B330*D$282/12)))</f>
        <v/>
      </c>
      <c r="E330" s="7">
        <f>C330+D330</f>
        <v/>
      </c>
      <c r="F330" s="7">
        <f>B330-D330</f>
        <v/>
      </c>
    </row>
    <row r="331">
      <c r="A331" t="n">
        <v>48</v>
      </c>
      <c r="B331" s="7">
        <f>F330</f>
        <v/>
      </c>
      <c r="C331" s="7">
        <f>B331*D$282/12</f>
        <v/>
      </c>
      <c r="D331" s="7">
        <f>IF(A331&lt;=H$282,0,MIN(B331,IF(D$282=0,J$282,J$282-B331*D$282/12)))</f>
        <v/>
      </c>
      <c r="E331" s="7">
        <f>C331+D331</f>
        <v/>
      </c>
      <c r="F331" s="7">
        <f>B331-D331</f>
        <v/>
      </c>
    </row>
    <row r="332">
      <c r="A332" t="n">
        <v>49</v>
      </c>
      <c r="B332" s="7">
        <f>F331</f>
        <v/>
      </c>
      <c r="C332" s="7">
        <f>B332*D$282/12</f>
        <v/>
      </c>
      <c r="D332" s="7">
        <f>IF(A332&lt;=H$282,0,MIN(B332,IF(D$282=0,J$282,J$282-B332*D$282/12)))</f>
        <v/>
      </c>
      <c r="E332" s="7">
        <f>C332+D332</f>
        <v/>
      </c>
      <c r="F332" s="7">
        <f>B332-D332</f>
        <v/>
      </c>
    </row>
    <row r="333">
      <c r="A333" t="n">
        <v>50</v>
      </c>
      <c r="B333" s="7">
        <f>F332</f>
        <v/>
      </c>
      <c r="C333" s="7">
        <f>B333*D$282/12</f>
        <v/>
      </c>
      <c r="D333" s="7">
        <f>IF(A333&lt;=H$282,0,MIN(B333,IF(D$282=0,J$282,J$282-B333*D$282/12)))</f>
        <v/>
      </c>
      <c r="E333" s="7">
        <f>C333+D333</f>
        <v/>
      </c>
      <c r="F333" s="7">
        <f>B333-D333</f>
        <v/>
      </c>
    </row>
    <row r="334">
      <c r="A334" t="n">
        <v>51</v>
      </c>
      <c r="B334" s="7">
        <f>F333</f>
        <v/>
      </c>
      <c r="C334" s="7">
        <f>B334*D$282/12</f>
        <v/>
      </c>
      <c r="D334" s="7">
        <f>IF(A334&lt;=H$282,0,MIN(B334,IF(D$282=0,J$282,J$282-B334*D$282/12)))</f>
        <v/>
      </c>
      <c r="E334" s="7">
        <f>C334+D334</f>
        <v/>
      </c>
      <c r="F334" s="7">
        <f>B334-D334</f>
        <v/>
      </c>
    </row>
    <row r="335">
      <c r="A335" t="n">
        <v>52</v>
      </c>
      <c r="B335" s="7">
        <f>F334</f>
        <v/>
      </c>
      <c r="C335" s="7">
        <f>B335*D$282/12</f>
        <v/>
      </c>
      <c r="D335" s="7">
        <f>IF(A335&lt;=H$282,0,MIN(B335,IF(D$282=0,J$282,J$282-B335*D$282/12)))</f>
        <v/>
      </c>
      <c r="E335" s="7">
        <f>C335+D335</f>
        <v/>
      </c>
      <c r="F335" s="7">
        <f>B335-D335</f>
        <v/>
      </c>
    </row>
    <row r="336">
      <c r="A336" t="n">
        <v>53</v>
      </c>
      <c r="B336" s="7">
        <f>F335</f>
        <v/>
      </c>
      <c r="C336" s="7">
        <f>B336*D$282/12</f>
        <v/>
      </c>
      <c r="D336" s="7">
        <f>IF(A336&lt;=H$282,0,MIN(B336,IF(D$282=0,J$282,J$282-B336*D$282/12)))</f>
        <v/>
      </c>
      <c r="E336" s="7">
        <f>C336+D336</f>
        <v/>
      </c>
      <c r="F336" s="7">
        <f>B336-D336</f>
        <v/>
      </c>
    </row>
    <row r="337">
      <c r="A337" t="n">
        <v>54</v>
      </c>
      <c r="B337" s="7">
        <f>F336</f>
        <v/>
      </c>
      <c r="C337" s="7">
        <f>B337*D$282/12</f>
        <v/>
      </c>
      <c r="D337" s="7">
        <f>IF(A337&lt;=H$282,0,MIN(B337,IF(D$282=0,J$282,J$282-B337*D$282/12)))</f>
        <v/>
      </c>
      <c r="E337" s="7">
        <f>C337+D337</f>
        <v/>
      </c>
      <c r="F337" s="7">
        <f>B337-D337</f>
        <v/>
      </c>
    </row>
    <row r="338">
      <c r="A338" t="n">
        <v>55</v>
      </c>
      <c r="B338" s="7">
        <f>F337</f>
        <v/>
      </c>
      <c r="C338" s="7">
        <f>B338*D$282/12</f>
        <v/>
      </c>
      <c r="D338" s="7">
        <f>IF(A338&lt;=H$282,0,MIN(B338,IF(D$282=0,J$282,J$282-B338*D$282/12)))</f>
        <v/>
      </c>
      <c r="E338" s="7">
        <f>C338+D338</f>
        <v/>
      </c>
      <c r="F338" s="7">
        <f>B338-D338</f>
        <v/>
      </c>
    </row>
    <row r="339">
      <c r="A339" t="n">
        <v>56</v>
      </c>
      <c r="B339" s="7">
        <f>F338</f>
        <v/>
      </c>
      <c r="C339" s="7">
        <f>B339*D$282/12</f>
        <v/>
      </c>
      <c r="D339" s="7">
        <f>IF(A339&lt;=H$282,0,MIN(B339,IF(D$282=0,J$282,J$282-B339*D$282/12)))</f>
        <v/>
      </c>
      <c r="E339" s="7">
        <f>C339+D339</f>
        <v/>
      </c>
      <c r="F339" s="7">
        <f>B339-D339</f>
        <v/>
      </c>
    </row>
    <row r="340">
      <c r="A340" t="n">
        <v>57</v>
      </c>
      <c r="B340" s="7">
        <f>F339</f>
        <v/>
      </c>
      <c r="C340" s="7">
        <f>B340*D$282/12</f>
        <v/>
      </c>
      <c r="D340" s="7">
        <f>IF(A340&lt;=H$282,0,MIN(B340,IF(D$282=0,J$282,J$282-B340*D$282/12)))</f>
        <v/>
      </c>
      <c r="E340" s="7">
        <f>C340+D340</f>
        <v/>
      </c>
      <c r="F340" s="7">
        <f>B340-D340</f>
        <v/>
      </c>
    </row>
    <row r="341">
      <c r="A341" t="n">
        <v>58</v>
      </c>
      <c r="B341" s="7">
        <f>F340</f>
        <v/>
      </c>
      <c r="C341" s="7">
        <f>B341*D$282/12</f>
        <v/>
      </c>
      <c r="D341" s="7">
        <f>IF(A341&lt;=H$282,0,MIN(B341,IF(D$282=0,J$282,J$282-B341*D$282/12)))</f>
        <v/>
      </c>
      <c r="E341" s="7">
        <f>C341+D341</f>
        <v/>
      </c>
      <c r="F341" s="7">
        <f>B341-D341</f>
        <v/>
      </c>
    </row>
    <row r="342">
      <c r="A342" t="n">
        <v>59</v>
      </c>
      <c r="B342" s="7">
        <f>F341</f>
        <v/>
      </c>
      <c r="C342" s="7">
        <f>B342*D$282/12</f>
        <v/>
      </c>
      <c r="D342" s="7">
        <f>IF(A342&lt;=H$282,0,MIN(B342,IF(D$282=0,J$282,J$282-B342*D$282/12)))</f>
        <v/>
      </c>
      <c r="E342" s="7">
        <f>C342+D342</f>
        <v/>
      </c>
      <c r="F342" s="7">
        <f>B342-D342</f>
        <v/>
      </c>
    </row>
    <row r="343">
      <c r="A343" t="n">
        <v>60</v>
      </c>
      <c r="B343" s="7">
        <f>F342</f>
        <v/>
      </c>
      <c r="C343" s="7">
        <f>B343*D$282/12</f>
        <v/>
      </c>
      <c r="D343" s="7">
        <f>IF(A343&lt;=H$282,0,MIN(B343,IF(D$282=0,J$282,J$282-B343*D$282/12)))</f>
        <v/>
      </c>
      <c r="E343" s="7">
        <f>C343+D343</f>
        <v/>
      </c>
      <c r="F343" s="7">
        <f>B343-D343</f>
        <v/>
      </c>
    </row>
    <row r="344">
      <c r="A344" s="1" t="inlineStr">
        <is>
          <t>Année</t>
        </is>
      </c>
      <c r="B344" s="1" t="inlineStr">
        <is>
          <t>Intérêts</t>
        </is>
      </c>
      <c r="C344" s="1" t="inlineStr">
        <is>
          <t>Capital</t>
        </is>
      </c>
      <c r="D344" s="1" t="inlineStr">
        <is>
          <t>Service</t>
        </is>
      </c>
      <c r="E344" s="1" t="inlineStr">
        <is>
          <t>Solde fin</t>
        </is>
      </c>
    </row>
    <row r="345">
      <c r="A345" t="inlineStr">
        <is>
          <t>An 1</t>
        </is>
      </c>
      <c r="B345" s="7">
        <f>SUM(C284:C295)</f>
        <v/>
      </c>
      <c r="C345" s="7">
        <f>SUM(D284:D295)</f>
        <v/>
      </c>
      <c r="D345" s="7">
        <f>B345+C345</f>
        <v/>
      </c>
      <c r="E345" s="7">
        <f>F295</f>
        <v/>
      </c>
    </row>
    <row r="346">
      <c r="A346" t="inlineStr">
        <is>
          <t>An 2</t>
        </is>
      </c>
      <c r="B346" s="7">
        <f>SUM(C296:C307)</f>
        <v/>
      </c>
      <c r="C346" s="7">
        <f>SUM(D296:D307)</f>
        <v/>
      </c>
      <c r="D346" s="7">
        <f>B346+C346</f>
        <v/>
      </c>
      <c r="E346" s="7">
        <f>F307</f>
        <v/>
      </c>
    </row>
    <row r="347">
      <c r="A347" t="inlineStr">
        <is>
          <t>An 3</t>
        </is>
      </c>
      <c r="B347" s="7">
        <f>SUM(C308:C319)</f>
        <v/>
      </c>
      <c r="C347" s="7">
        <f>SUM(D308:D319)</f>
        <v/>
      </c>
      <c r="D347" s="7">
        <f>B347+C347</f>
        <v/>
      </c>
      <c r="E347" s="7">
        <f>F319</f>
        <v/>
      </c>
    </row>
    <row r="348">
      <c r="A348" t="inlineStr">
        <is>
          <t>An 4</t>
        </is>
      </c>
      <c r="B348" s="7">
        <f>SUM(C320:C331)</f>
        <v/>
      </c>
      <c r="C348" s="7">
        <f>SUM(D320:D331)</f>
        <v/>
      </c>
      <c r="D348" s="7">
        <f>B348+C348</f>
        <v/>
      </c>
      <c r="E348" s="7">
        <f>F331</f>
        <v/>
      </c>
    </row>
    <row r="349">
      <c r="A349" t="inlineStr">
        <is>
          <t>An 5</t>
        </is>
      </c>
      <c r="B349" s="7">
        <f>SUM(C332:C343)</f>
        <v/>
      </c>
      <c r="C349" s="7">
        <f>SUM(D332:D343)</f>
        <v/>
      </c>
      <c r="D349" s="7">
        <f>B349+C349</f>
        <v/>
      </c>
      <c r="E349" s="7">
        <f>F343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/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s="2" t="inlineStr">
        <is>
          <t>REVENUS</t>
        </is>
      </c>
    </row>
    <row r="3">
      <c r="A3" t="inlineStr">
        <is>
          <t>Terrains de camping</t>
        </is>
      </c>
      <c r="B3" s="7">
        <f>Hypothèses!$B$4</f>
        <v/>
      </c>
      <c r="C3" s="7">
        <f>Hypothèses!$B$4*(1+Hypothèses!$B$3)^1*Hypothèses!$C$14</f>
        <v/>
      </c>
      <c r="D3" s="7">
        <f>Hypothèses!$B$4*(1+Hypothèses!$B$3)^2*Hypothèses!$D$14</f>
        <v/>
      </c>
      <c r="E3" s="7">
        <f>Hypothèses!$B$4*(1+Hypothèses!$B$3)^3*Hypothèses!$E$14</f>
        <v/>
      </c>
      <c r="F3" s="7">
        <f>Hypothèses!$B$4*(1+Hypothèses!$B$3)^4*Hypothèses!$F$14</f>
        <v/>
      </c>
      <c r="G3" s="7">
        <f>Hypothèses!$B$4*(1+Hypothèses!$B$3)^5*Hypothèses!$G$14</f>
        <v/>
      </c>
    </row>
    <row r="4">
      <c r="A4" t="inlineStr">
        <is>
          <t>Terrains saisonniers</t>
        </is>
      </c>
      <c r="B4" s="7">
        <f>Hypothèses!$B$5</f>
        <v/>
      </c>
      <c r="C4" s="7">
        <f>Hypothèses!$C$15*Hypothèses!$B$48*(1+Hypothèses!$B$3)^0</f>
        <v/>
      </c>
      <c r="D4" s="7">
        <f>Hypothèses!$D$15*Hypothèses!$B$48*(1+Hypothèses!$B$3)^1</f>
        <v/>
      </c>
      <c r="E4" s="7">
        <f>Hypothèses!$E$15*Hypothèses!$B$48*(1+Hypothèses!$B$3)^2</f>
        <v/>
      </c>
      <c r="F4" s="7">
        <f>Hypothèses!$F$15*Hypothèses!$B$48*(1+Hypothèses!$B$3)^3</f>
        <v/>
      </c>
      <c r="G4" s="7">
        <f>Hypothèses!$G$15*Hypothèses!$B$48*(1+Hypothèses!$B$3)^4</f>
        <v/>
      </c>
    </row>
    <row r="5">
      <c r="A5" t="inlineStr">
        <is>
          <t>Chalets 4 saisons (16)</t>
        </is>
      </c>
      <c r="B5" s="7">
        <f>Hypothèses!$B$6</f>
        <v/>
      </c>
      <c r="C5" s="7">
        <f>Hypothèses!$B$38*(184*Hypothèses!$C$16*Hypothèses!$B$39*(1+Hypothèses!$B$3)^0+181*Hypothèses!$C$18*Hypothèses!$C$17*Hypothèses!$B$40*(1+Hypothèses!$B$3)^0)</f>
        <v/>
      </c>
      <c r="D5" s="7">
        <f>Hypothèses!$B$38*(184*Hypothèses!$D$16*Hypothèses!$B$39*(1+Hypothèses!$B$3)^1+181*Hypothèses!$D$18*Hypothèses!$D$17*Hypothèses!$B$40*(1+Hypothèses!$B$3)^1)</f>
        <v/>
      </c>
      <c r="E5" s="7">
        <f>Hypothèses!$B$38*(184*Hypothèses!$E$16*Hypothèses!$B$39*(1+Hypothèses!$B$3)^2+181*Hypothèses!$E$18*Hypothèses!$E$17*Hypothèses!$B$40*(1+Hypothèses!$B$3)^2)</f>
        <v/>
      </c>
      <c r="F5" s="7">
        <f>Hypothèses!$B$38*(184*Hypothèses!$F$16*Hypothèses!$B$39*(1+Hypothèses!$B$3)^3+181*Hypothèses!$F$18*Hypothèses!$F$17*Hypothèses!$B$40*(1+Hypothèses!$B$3)^3)</f>
        <v/>
      </c>
      <c r="G5" s="7">
        <f>Hypothèses!$B$38*(184*Hypothèses!$G$16*Hypothèses!$B$39*(1+Hypothèses!$B$3)^4+181*Hypothèses!$G$18*Hypothèses!$G$17*Hypothèses!$B$40*(1+Hypothèses!$B$3)^4)</f>
        <v/>
      </c>
    </row>
    <row r="6">
      <c r="A6" t="inlineStr">
        <is>
          <t>Villas (13)</t>
        </is>
      </c>
      <c r="B6" s="7">
        <f>0</f>
        <v/>
      </c>
      <c r="C6" s="7">
        <f>Hypothèses!$B$41*(184*Hypothèses!$C$21*Hypothèses!$C$19*Hypothèses!$B$42*(1+Hypothèses!$B$3)^0+181*Hypothèses!$C$20*Hypothèses!$B$43*(1+Hypothèses!$B$3)^0)</f>
        <v/>
      </c>
      <c r="D6" s="7">
        <f>Hypothèses!$B$41*(184*Hypothèses!$D$21*Hypothèses!$D$19*Hypothèses!$B$42*(1+Hypothèses!$B$3)^1+181*Hypothèses!$D$20*Hypothèses!$B$43*(1+Hypothèses!$B$3)^1)</f>
        <v/>
      </c>
      <c r="E6" s="7">
        <f>Hypothèses!$B$41*(184*Hypothèses!$E$21*Hypothèses!$E$19*Hypothèses!$B$42*(1+Hypothèses!$B$3)^2+181*Hypothèses!$E$20*Hypothèses!$B$43*(1+Hypothèses!$B$3)^2)</f>
        <v/>
      </c>
      <c r="F6" s="7">
        <f>Hypothèses!$B$41*(184*Hypothèses!$F$21*Hypothèses!$F$19*Hypothèses!$B$42*(1+Hypothèses!$B$3)^3+181*Hypothèses!$F$20*Hypothèses!$B$43*(1+Hypothèses!$B$3)^3)</f>
        <v/>
      </c>
      <c r="G6" s="7">
        <f>Hypothèses!$B$41*(184*Hypothèses!$G$21*Hypothèses!$G$19*Hypothèses!$B$42*(1+Hypothèses!$B$3)^4+181*Hypothèses!$G$20*Hypothèses!$B$43*(1+Hypothèses!$B$3)^4)</f>
        <v/>
      </c>
    </row>
    <row r="7">
      <c r="A7" t="inlineStr">
        <is>
          <t>Hôtel (6 → 17 chambres)</t>
        </is>
      </c>
      <c r="B7" s="7">
        <f>0</f>
        <v/>
      </c>
      <c r="C7" s="7">
        <f>Hypothèses!$C$22*365*Hypothèses!$C$23*Hypothèses!$B$44*(1+Hypothèses!$B$3)^0</f>
        <v/>
      </c>
      <c r="D7" s="7">
        <f>Hypothèses!$D$22*365*Hypothèses!$D$23*Hypothèses!$B$44*(1+Hypothèses!$B$3)^1</f>
        <v/>
      </c>
      <c r="E7" s="7">
        <f>Hypothèses!$E$22*365*Hypothèses!$E$23*Hypothèses!$B$44*(1+Hypothèses!$B$3)^2</f>
        <v/>
      </c>
      <c r="F7" s="7">
        <f>Hypothèses!$F$22*365*Hypothèses!$F$23*Hypothèses!$B$44*(1+Hypothèses!$B$3)^3</f>
        <v/>
      </c>
      <c r="G7" s="7">
        <f>Hypothèses!$G$22*365*Hypothèses!$G$23*Hypothèses!$B$44*(1+Hypothèses!$B$3)^4</f>
        <v/>
      </c>
    </row>
    <row r="8">
      <c r="A8" t="inlineStr">
        <is>
          <t>Cabanas (13)</t>
        </is>
      </c>
      <c r="B8" s="7">
        <f>Hypothèses!$B$7</f>
        <v/>
      </c>
      <c r="C8" s="7">
        <f>Hypothèses!$B$7*(1+Hypothèses!$B$3)^1*Hypothèses!$C$24</f>
        <v/>
      </c>
      <c r="D8" s="7">
        <f>Hypothèses!$B$7*(1+Hypothèses!$B$3)^2*Hypothèses!$D$24</f>
        <v/>
      </c>
      <c r="E8" s="7">
        <f>Hypothèses!$B$7*(1+Hypothèses!$B$3)^3*Hypothèses!$E$24</f>
        <v/>
      </c>
      <c r="F8" s="7">
        <f>Hypothèses!$B$7*(1+Hypothèses!$B$3)^4*Hypothèses!$F$24</f>
        <v/>
      </c>
      <c r="G8" s="7">
        <f>Hypothèses!$B$7*(1+Hypothèses!$B$3)^5*Hypothèses!$G$24</f>
        <v/>
      </c>
    </row>
    <row r="9">
      <c r="A9" t="inlineStr">
        <is>
          <t>Unités Coolbox grappe A (9, propriété Havana)</t>
        </is>
      </c>
      <c r="B9" s="7">
        <f>0</f>
        <v/>
      </c>
      <c r="C9" s="7">
        <f>Hypothèses!$B$45*(184*Hypothèses!$C$27*Hypothèses!$C$25*Hypothèses!$B$46*(1+Hypothèses!$B$3)^0+181*Hypothèses!$C$26*Hypothèses!$B$47*(1+Hypothèses!$B$3)^0)</f>
        <v/>
      </c>
      <c r="D9" s="7">
        <f>Hypothèses!$B$45*(184*Hypothèses!$D$27*Hypothèses!$D$25*Hypothèses!$B$46*(1+Hypothèses!$B$3)^1+181*Hypothèses!$D$26*Hypothèses!$B$47*(1+Hypothèses!$B$3)^1)</f>
        <v/>
      </c>
      <c r="E9" s="7">
        <f>Hypothèses!$B$45*(184*Hypothèses!$E$27*Hypothèses!$E$25*Hypothèses!$B$46*(1+Hypothèses!$B$3)^2+181*Hypothèses!$E$26*Hypothèses!$B$47*(1+Hypothèses!$B$3)^2)</f>
        <v/>
      </c>
      <c r="F9" s="7">
        <f>Hypothèses!$B$45*(184*Hypothèses!$F$27*Hypothèses!$F$25*Hypothèses!$B$46*(1+Hypothèses!$B$3)^3+181*Hypothèses!$F$26*Hypothèses!$B$47*(1+Hypothèses!$B$3)^3)</f>
        <v/>
      </c>
      <c r="G9" s="7">
        <f>Hypothèses!$B$45*(184*Hypothèses!$G$27*Hypothèses!$G$25*Hypothèses!$B$46*(1+Hypothèses!$B$3)^4+181*Hypothèses!$G$26*Hypothèses!$B$47*(1+Hypothèses!$B$3)^4)</f>
        <v/>
      </c>
    </row>
    <row r="10">
      <c r="A10" t="inlineStr">
        <is>
          <t>Partenariat Coolbox HPA, part Havana</t>
        </is>
      </c>
      <c r="B10" s="7">
        <f>Hypothèses!$B$10</f>
        <v/>
      </c>
      <c r="C10" s="7">
        <f>Hypothèses!$B$11*(1+Hypothèses!$B$3)^1</f>
        <v/>
      </c>
      <c r="D10" s="7">
        <f>Hypothèses!$B$11*(1+Hypothèses!$B$3)^2</f>
        <v/>
      </c>
      <c r="E10" s="7">
        <f>Hypothèses!$B$11*(1+Hypothèses!$B$3)^3</f>
        <v/>
      </c>
      <c r="F10" s="7">
        <f>Hypothèses!$B$11*(1+Hypothèses!$B$3)^4</f>
        <v/>
      </c>
      <c r="G10" s="7">
        <f>Hypothèses!$B$11*(1+Hypothèses!$B$3)^5</f>
        <v/>
      </c>
    </row>
    <row r="11">
      <c r="A11" t="inlineStr">
        <is>
          <t>Restauration (sans alcool)</t>
        </is>
      </c>
      <c r="B11" s="7">
        <f>Hypothèses!$B$8</f>
        <v/>
      </c>
      <c r="C11" s="7">
        <f>SUM(C3:C9)*Hypothèses!$C$28</f>
        <v/>
      </c>
      <c r="D11" s="7">
        <f>SUM(D3:D9)*Hypothèses!$D$28</f>
        <v/>
      </c>
      <c r="E11" s="7">
        <f>SUM(E3:E9)*Hypothèses!$E$28</f>
        <v/>
      </c>
      <c r="F11" s="7">
        <f>SUM(F3:F9)*Hypothèses!$F$28</f>
        <v/>
      </c>
      <c r="G11" s="7">
        <f>SUM(G3:G9)*Hypothèses!$G$28</f>
        <v/>
      </c>
    </row>
    <row r="12">
      <c r="A12" t="inlineStr">
        <is>
          <t>Spectacles (billetterie brute)</t>
        </is>
      </c>
      <c r="B12" s="7">
        <f>Hypothèses!$B$29*(1+Hypothèses!$B$3)^MAX(0-2,0)</f>
        <v/>
      </c>
      <c r="C12" s="7">
        <f>Hypothèses!$C$29*(1+Hypothèses!$B$3)^MAX(1-2,0)</f>
        <v/>
      </c>
      <c r="D12" s="7">
        <f>Hypothèses!$D$29*(1+Hypothèses!$B$3)^MAX(2-2,0)</f>
        <v/>
      </c>
      <c r="E12" s="7">
        <f>Hypothèses!$E$29*(1+Hypothèses!$B$3)^MAX(3-2,0)</f>
        <v/>
      </c>
      <c r="F12" s="7">
        <f>Hypothèses!$F$29*(1+Hypothèses!$B$3)^MAX(4-2,0)</f>
        <v/>
      </c>
      <c r="G12" s="7">
        <f>Hypothèses!$G$29*(1+Hypothèses!$B$3)^MAX(5-2,0)</f>
        <v/>
      </c>
    </row>
    <row r="13">
      <c r="A13" t="inlineStr">
        <is>
          <t>Activités et concessions</t>
        </is>
      </c>
      <c r="B13" s="7">
        <f>Hypothèses!$B$30</f>
        <v/>
      </c>
      <c r="C13" s="7">
        <f>Hypothèses!$C$30</f>
        <v/>
      </c>
      <c r="D13" s="7">
        <f>Hypothèses!$D$30</f>
        <v/>
      </c>
      <c r="E13" s="7">
        <f>Hypothèses!$E$30</f>
        <v/>
      </c>
      <c r="F13" s="7">
        <f>Hypothèses!$F$30</f>
        <v/>
      </c>
      <c r="G13" s="7">
        <f>Hypothèses!$G$30</f>
        <v/>
      </c>
    </row>
    <row r="14">
      <c r="A14" s="2" t="inlineStr">
        <is>
          <t>Total des revenus (× facteur de scénario)</t>
        </is>
      </c>
      <c r="B14" s="7">
        <f>SUM(B3:B13)*Hypothèses!$B$87</f>
        <v/>
      </c>
      <c r="C14" s="7">
        <f>SUM(C3:C13)*Hypothèses!$B$87</f>
        <v/>
      </c>
      <c r="D14" s="7">
        <f>SUM(D3:D13)*Hypothèses!$B$87</f>
        <v/>
      </c>
      <c r="E14" s="7">
        <f>SUM(E3:E13)*Hypothèses!$B$87</f>
        <v/>
      </c>
      <c r="F14" s="7">
        <f>SUM(F3:F13)*Hypothèses!$B$87</f>
        <v/>
      </c>
      <c r="G14" s="7">
        <f>SUM(G3:G13)*Hypothèses!$B$87</f>
        <v/>
      </c>
    </row>
    <row r="16">
      <c r="A16" s="2" t="inlineStr">
        <is>
          <t>CHARGES</t>
        </is>
      </c>
    </row>
    <row r="17">
      <c r="A17" t="inlineStr">
        <is>
          <t>Coût des ventes</t>
        </is>
      </c>
      <c r="B17" s="7">
        <f>(B11*Hypothèses!$B$52+B13*Hypothèses!$B$53)*Hypothèses!$B$87</f>
        <v/>
      </c>
      <c r="C17" s="7">
        <f>(C11*Hypothèses!$B$52+C13*Hypothèses!$B$53)*Hypothèses!$B$87</f>
        <v/>
      </c>
      <c r="D17" s="7">
        <f>(D11*Hypothèses!$B$52+D13*Hypothèses!$B$53)*Hypothèses!$B$87</f>
        <v/>
      </c>
      <c r="E17" s="7">
        <f>(E11*Hypothèses!$B$52+E13*Hypothèses!$B$53)*Hypothèses!$B$87</f>
        <v/>
      </c>
      <c r="F17" s="7">
        <f>(F11*Hypothèses!$B$52+F13*Hypothèses!$B$53)*Hypothèses!$B$87</f>
        <v/>
      </c>
      <c r="G17" s="7">
        <f>(G11*Hypothèses!$B$52+G13*Hypothèses!$B$53)*Hypothèses!$B$87</f>
        <v/>
      </c>
    </row>
    <row r="18">
      <c r="A18" t="inlineStr">
        <is>
          <t>Cachets et technique des spectacles</t>
        </is>
      </c>
      <c r="B18" s="7">
        <f>B12*Hypothèses!$B$54*Hypothèses!$B$87</f>
        <v/>
      </c>
      <c r="C18" s="7">
        <f>C12*Hypothèses!$B$54*Hypothèses!$B$87</f>
        <v/>
      </c>
      <c r="D18" s="7">
        <f>D12*Hypothèses!$B$54*Hypothèses!$B$87</f>
        <v/>
      </c>
      <c r="E18" s="7">
        <f>E12*Hypothèses!$B$54*Hypothèses!$B$87</f>
        <v/>
      </c>
      <c r="F18" s="7">
        <f>F12*Hypothèses!$B$54*Hypothèses!$B$87</f>
        <v/>
      </c>
      <c r="G18" s="7">
        <f>G12*Hypothèses!$B$54*Hypothèses!$B$87</f>
        <v/>
      </c>
    </row>
    <row r="19">
      <c r="A19" t="inlineStr">
        <is>
          <t>Commissions de plateformes</t>
        </is>
      </c>
      <c r="B19" s="7">
        <f>(B7+B6+B9)*Hypothèses!$B$55*Hypothèses!$B$87</f>
        <v/>
      </c>
      <c r="C19" s="7">
        <f>(C7+C6+C9)*Hypothèses!$B$55*Hypothèses!$B$87</f>
        <v/>
      </c>
      <c r="D19" s="7">
        <f>(D7+D6+D9)*Hypothèses!$B$55*Hypothèses!$B$87</f>
        <v/>
      </c>
      <c r="E19" s="7">
        <f>(E7+E6+E9)*Hypothèses!$B$55*Hypothèses!$B$87</f>
        <v/>
      </c>
      <c r="F19" s="7">
        <f>(F7+F6+F9)*Hypothèses!$B$55*Hypothèses!$B$87</f>
        <v/>
      </c>
      <c r="G19" s="7">
        <f>(G7+G6+G9)*Hypothèses!$B$55*Hypothèses!$B$87</f>
        <v/>
      </c>
    </row>
    <row r="20">
      <c r="A20" t="inlineStr">
        <is>
          <t>Salaires et charges sociales</t>
        </is>
      </c>
      <c r="B20" s="7">
        <f>B$14*Hypothèses!$B$31</f>
        <v/>
      </c>
      <c r="C20" s="7">
        <f>C$14*Hypothèses!$C$31</f>
        <v/>
      </c>
      <c r="D20" s="7">
        <f>D$14*Hypothèses!$D$31</f>
        <v/>
      </c>
      <c r="E20" s="7">
        <f>E$14*Hypothèses!$E$31</f>
        <v/>
      </c>
      <c r="F20" s="7">
        <f>F$14*Hypothèses!$F$31</f>
        <v/>
      </c>
      <c r="G20" s="7">
        <f>G$14*Hypothèses!$G$31</f>
        <v/>
      </c>
    </row>
    <row r="21">
      <c r="A21" t="inlineStr">
        <is>
          <t>Électricité, chauffage et propane</t>
        </is>
      </c>
      <c r="B21" s="7">
        <f>Hypothèses!$B$32</f>
        <v/>
      </c>
      <c r="C21" s="7">
        <f>Hypothèses!$C$32</f>
        <v/>
      </c>
      <c r="D21" s="7">
        <f>Hypothèses!$D$32</f>
        <v/>
      </c>
      <c r="E21" s="7">
        <f>Hypothèses!$E$32</f>
        <v/>
      </c>
      <c r="F21" s="7">
        <f>Hypothèses!$F$32</f>
        <v/>
      </c>
      <c r="G21" s="7">
        <f>Hypothèses!$G$32</f>
        <v/>
      </c>
    </row>
    <row r="22">
      <c r="A22" t="inlineStr">
        <is>
          <t>Entretien et réparations</t>
        </is>
      </c>
      <c r="B22" s="7">
        <f>B$14*Hypothèses!$B$56</f>
        <v/>
      </c>
      <c r="C22" s="7">
        <f>C$14*Hypothèses!$B$56</f>
        <v/>
      </c>
      <c r="D22" s="7">
        <f>D$14*Hypothèses!$B$56</f>
        <v/>
      </c>
      <c r="E22" s="7">
        <f>E$14*Hypothèses!$B$56</f>
        <v/>
      </c>
      <c r="F22" s="7">
        <f>F$14*Hypothèses!$B$56</f>
        <v/>
      </c>
      <c r="G22" s="7">
        <f>G$14*Hypothèses!$B$56</f>
        <v/>
      </c>
    </row>
    <row r="23">
      <c r="A23" t="inlineStr">
        <is>
          <t>Véhicules et essence</t>
        </is>
      </c>
      <c r="B23" s="7">
        <f>Hypothèses!$B$58*(1+Hypothèses!$B$3)^0</f>
        <v/>
      </c>
      <c r="C23" s="7">
        <f>Hypothèses!$B$58*(1+Hypothèses!$B$3)^1</f>
        <v/>
      </c>
      <c r="D23" s="7">
        <f>Hypothèses!$B$58*(1+Hypothèses!$B$3)^2</f>
        <v/>
      </c>
      <c r="E23" s="7">
        <f>Hypothèses!$B$58*(1+Hypothèses!$B$3)^3</f>
        <v/>
      </c>
      <c r="F23" s="7">
        <f>Hypothèses!$B$58*(1+Hypothèses!$B$3)^4</f>
        <v/>
      </c>
      <c r="G23" s="7">
        <f>Hypothèses!$B$58*(1+Hypothèses!$B$3)^5</f>
        <v/>
      </c>
    </row>
    <row r="24">
      <c r="A24" t="inlineStr">
        <is>
          <t>Marketing</t>
        </is>
      </c>
      <c r="B24" s="7">
        <f>B$14*Hypothèses!$B$35</f>
        <v/>
      </c>
      <c r="C24" s="7">
        <f>C$14*Hypothèses!$C$35</f>
        <v/>
      </c>
      <c r="D24" s="7">
        <f>D$14*Hypothèses!$D$35</f>
        <v/>
      </c>
      <c r="E24" s="7">
        <f>E$14*Hypothèses!$E$35</f>
        <v/>
      </c>
      <c r="F24" s="7">
        <f>F$14*Hypothèses!$F$35</f>
        <v/>
      </c>
      <c r="G24" s="7">
        <f>G$14*Hypothèses!$G$35</f>
        <v/>
      </c>
    </row>
    <row r="25">
      <c r="A25" t="inlineStr">
        <is>
          <t>Assurances</t>
        </is>
      </c>
      <c r="B25" s="7">
        <f>Hypothèses!$B$33</f>
        <v/>
      </c>
      <c r="C25" s="7">
        <f>Hypothèses!$C$33</f>
        <v/>
      </c>
      <c r="D25" s="7">
        <f>Hypothèses!$D$33</f>
        <v/>
      </c>
      <c r="E25" s="7">
        <f>Hypothèses!$E$33</f>
        <v/>
      </c>
      <c r="F25" s="7">
        <f>Hypothèses!$F$33</f>
        <v/>
      </c>
      <c r="G25" s="7">
        <f>Hypothèses!$G$33</f>
        <v/>
      </c>
    </row>
    <row r="26">
      <c r="A26" t="inlineStr">
        <is>
          <t>Taxes municipales et scolaires</t>
        </is>
      </c>
      <c r="B26" s="7">
        <f>Hypothèses!$B$34</f>
        <v/>
      </c>
      <c r="C26" s="7">
        <f>Hypothèses!$C$34</f>
        <v/>
      </c>
      <c r="D26" s="7">
        <f>Hypothèses!$D$34</f>
        <v/>
      </c>
      <c r="E26" s="7">
        <f>Hypothèses!$E$34</f>
        <v/>
      </c>
      <c r="F26" s="7">
        <f>Hypothèses!$F$34</f>
        <v/>
      </c>
      <c r="G26" s="7">
        <f>Hypothèses!$G$34</f>
        <v/>
      </c>
    </row>
    <row r="27">
      <c r="A27" t="inlineStr">
        <is>
          <t>Honoraires comptables et audit</t>
        </is>
      </c>
      <c r="B27" s="7">
        <f>Hypothèses!$B$59*(1+Hypothèses!$B$3)^0</f>
        <v/>
      </c>
      <c r="C27" s="7">
        <f>Hypothèses!$B$59*(1+Hypothèses!$B$3)^1</f>
        <v/>
      </c>
      <c r="D27" s="7">
        <f>Hypothèses!$B$59*(1+Hypothèses!$B$3)^2</f>
        <v/>
      </c>
      <c r="E27" s="7">
        <f>Hypothèses!$B$59*(1+Hypothèses!$B$3)^3</f>
        <v/>
      </c>
      <c r="F27" s="7">
        <f>Hypothèses!$B$59*(1+Hypothèses!$B$3)^4</f>
        <v/>
      </c>
      <c r="G27" s="7">
        <f>Hypothèses!$B$59*(1+Hypothèses!$B$3)^5</f>
        <v/>
      </c>
    </row>
    <row r="28">
      <c r="A28" t="inlineStr">
        <is>
          <t>Administration et TI</t>
        </is>
      </c>
      <c r="B28" s="7">
        <f>B$14*Hypothèses!$B$60</f>
        <v/>
      </c>
      <c r="C28" s="7">
        <f>C$14*Hypothèses!$B$60</f>
        <v/>
      </c>
      <c r="D28" s="7">
        <f>D$14*Hypothèses!$B$60</f>
        <v/>
      </c>
      <c r="E28" s="7">
        <f>E$14*Hypothèses!$B$60</f>
        <v/>
      </c>
      <c r="F28" s="7">
        <f>F$14*Hypothèses!$B$60</f>
        <v/>
      </c>
      <c r="G28" s="7">
        <f>G$14*Hypothèses!$B$60</f>
        <v/>
      </c>
    </row>
    <row r="29">
      <c r="A29" t="inlineStr">
        <is>
          <t>Frais bancaires et de cartes</t>
        </is>
      </c>
      <c r="B29" s="7">
        <f>B$14*Hypothèses!$B$61</f>
        <v/>
      </c>
      <c r="C29" s="7">
        <f>C$14*Hypothèses!$B$61</f>
        <v/>
      </c>
      <c r="D29" s="7">
        <f>D$14*Hypothèses!$B$61</f>
        <v/>
      </c>
      <c r="E29" s="7">
        <f>E$14*Hypothèses!$B$61</f>
        <v/>
      </c>
      <c r="F29" s="7">
        <f>F$14*Hypothèses!$B$61</f>
        <v/>
      </c>
      <c r="G29" s="7">
        <f>G$14*Hypothèses!$B$61</f>
        <v/>
      </c>
    </row>
    <row r="30">
      <c r="A30" t="inlineStr">
        <is>
          <t>Fournitures</t>
        </is>
      </c>
      <c r="B30" s="7">
        <f>B$14*Hypothèses!$B$62</f>
        <v/>
      </c>
      <c r="C30" s="7">
        <f>C$14*Hypothèses!$B$62</f>
        <v/>
      </c>
      <c r="D30" s="7">
        <f>D$14*Hypothèses!$B$62</f>
        <v/>
      </c>
      <c r="E30" s="7">
        <f>E$14*Hypothèses!$B$62</f>
        <v/>
      </c>
      <c r="F30" s="7">
        <f>F$14*Hypothèses!$B$62</f>
        <v/>
      </c>
      <c r="G30" s="7">
        <f>G$14*Hypothèses!$B$62</f>
        <v/>
      </c>
    </row>
    <row r="31">
      <c r="A31" t="inlineStr">
        <is>
          <t>Loyers et locations</t>
        </is>
      </c>
      <c r="B31" s="7">
        <f>Hypothèses!$B$63*1.02^0</f>
        <v/>
      </c>
      <c r="C31" s="7">
        <f>Hypothèses!$B$63*1.02^1</f>
        <v/>
      </c>
      <c r="D31" s="7">
        <f>Hypothèses!$B$63*1.02^2</f>
        <v/>
      </c>
      <c r="E31" s="7">
        <f>Hypothèses!$B$63*1.02^3</f>
        <v/>
      </c>
      <c r="F31" s="7">
        <f>Hypothèses!$B$63*1.02^4</f>
        <v/>
      </c>
      <c r="G31" s="7">
        <f>Hypothèses!$B$63*1.02^5</f>
        <v/>
      </c>
    </row>
    <row r="32">
      <c r="A32" t="inlineStr">
        <is>
          <t>Divers et imprévus</t>
        </is>
      </c>
      <c r="B32" s="7">
        <f>B$14*Hypothèses!$B$64</f>
        <v/>
      </c>
      <c r="C32" s="7">
        <f>C$14*Hypothèses!$B$64</f>
        <v/>
      </c>
      <c r="D32" s="7">
        <f>D$14*Hypothèses!$B$64</f>
        <v/>
      </c>
      <c r="E32" s="7">
        <f>E$14*Hypothèses!$B$64</f>
        <v/>
      </c>
      <c r="F32" s="7">
        <f>F$14*Hypothèses!$B$64</f>
        <v/>
      </c>
      <c r="G32" s="7">
        <f>G$14*Hypothèses!$B$64</f>
        <v/>
      </c>
    </row>
    <row r="33">
      <c r="A33" s="2" t="inlineStr">
        <is>
          <t>Total des charges</t>
        </is>
      </c>
      <c r="B33" s="7">
        <f>SUM(B17:B32)</f>
        <v/>
      </c>
      <c r="C33" s="7">
        <f>SUM(C17:C32)</f>
        <v/>
      </c>
      <c r="D33" s="7">
        <f>SUM(D17:D32)</f>
        <v/>
      </c>
      <c r="E33" s="7">
        <f>SUM(E17:E32)</f>
        <v/>
      </c>
      <c r="F33" s="7">
        <f>SUM(F17:F32)</f>
        <v/>
      </c>
      <c r="G33" s="7">
        <f>SUM(G17:G32)</f>
        <v/>
      </c>
    </row>
    <row r="35">
      <c r="A35" s="2" t="inlineStr">
        <is>
          <t>BAIIA</t>
        </is>
      </c>
      <c r="B35" s="7">
        <f>B14-B33</f>
        <v/>
      </c>
      <c r="C35" s="7">
        <f>C14-C33</f>
        <v/>
      </c>
      <c r="D35" s="7">
        <f>D14-D33</f>
        <v/>
      </c>
      <c r="E35" s="7">
        <f>E14-E33</f>
        <v/>
      </c>
      <c r="F35" s="7">
        <f>F14-F33</f>
        <v/>
      </c>
      <c r="G35" s="7">
        <f>G14-G33</f>
        <v/>
      </c>
    </row>
    <row r="36">
      <c r="A36" t="inlineStr">
        <is>
          <t>Marge BAIIA</t>
        </is>
      </c>
      <c r="B36" s="8">
        <f>B35/B14</f>
        <v/>
      </c>
      <c r="C36" s="8">
        <f>C35/C14</f>
        <v/>
      </c>
      <c r="D36" s="8">
        <f>D35/D14</f>
        <v/>
      </c>
      <c r="E36" s="8">
        <f>E35/E14</f>
        <v/>
      </c>
      <c r="F36" s="8">
        <f>F35/F14</f>
        <v/>
      </c>
      <c r="G36" s="8">
        <f>G35/G14</f>
        <v/>
      </c>
    </row>
    <row r="37">
      <c r="A37" t="inlineStr">
        <is>
          <t>Amortissement comptable (DPA!)</t>
        </is>
      </c>
      <c r="B37" s="7">
        <f>DPA!B$3</f>
        <v/>
      </c>
      <c r="C37" s="7">
        <f>DPA!C$3</f>
        <v/>
      </c>
      <c r="D37" s="7">
        <f>DPA!D$3</f>
        <v/>
      </c>
      <c r="E37" s="7">
        <f>DPA!E$3</f>
        <v/>
      </c>
      <c r="F37" s="7">
        <f>DPA!F$3</f>
        <v/>
      </c>
      <c r="G37" s="7">
        <f>DPA!G$3</f>
        <v/>
      </c>
    </row>
    <row r="38">
      <c r="A38" t="inlineStr">
        <is>
          <t>Intérêts (toutes couches ; 2026 : dette existante)</t>
        </is>
      </c>
      <c r="B38" s="7">
        <f>Investissement!B10*Hypothèses!$B$68</f>
        <v/>
      </c>
      <c r="C38" s="7">
        <f>Dette!$B$65+Dette!$B$135+Dette!$B$205+Dette!$B$275+Dette!$B$345</f>
        <v/>
      </c>
      <c r="D38" s="7">
        <f>Dette!$B$66+Dette!$B$136+Dette!$B$206+Dette!$B$276+Dette!$B$346</f>
        <v/>
      </c>
      <c r="E38" s="7">
        <f>Dette!$B$67+Dette!$B$137+Dette!$B$207+Dette!$B$277+Dette!$B$347</f>
        <v/>
      </c>
      <c r="F38" s="7">
        <f>Dette!$B$68+Dette!$B$138+Dette!$B$208+Dette!$B$278+Dette!$B$348</f>
        <v/>
      </c>
      <c r="G38" s="7">
        <f>Dette!$B$69+Dette!$B$139+Dette!$B$209+Dette!$B$279+Dette!$B$349</f>
        <v/>
      </c>
    </row>
    <row r="39">
      <c r="A39" t="inlineStr">
        <is>
          <t>Bénéfice avant impôts</t>
        </is>
      </c>
      <c r="B39" s="7">
        <f>B35-B37-B38</f>
        <v/>
      </c>
      <c r="C39" s="7">
        <f>C35-C37-C38</f>
        <v/>
      </c>
      <c r="D39" s="7">
        <f>D35-D37-D38</f>
        <v/>
      </c>
      <c r="E39" s="7">
        <f>E35-E37-E38</f>
        <v/>
      </c>
      <c r="F39" s="7">
        <f>F35-F37-F38</f>
        <v/>
      </c>
      <c r="G39" s="7">
        <f>G35-G37-G38</f>
        <v/>
      </c>
    </row>
    <row r="40">
      <c r="A40" t="inlineStr">
        <is>
          <t>Impôts</t>
        </is>
      </c>
      <c r="B40" s="7">
        <f>IF(B39&lt;=0,0,MIN(B39,500000)*Hypothèses!$B$66+MAX(B39-500000,0)*Hypothèses!$B$67)</f>
        <v/>
      </c>
      <c r="C40" s="7">
        <f>IF(C39&lt;=0,0,MIN(C39,500000)*Hypothèses!$B$66+MAX(C39-500000,0)*Hypothèses!$B$67)</f>
        <v/>
      </c>
      <c r="D40" s="7">
        <f>IF(D39&lt;=0,0,MIN(D39,500000)*Hypothèses!$B$66+MAX(D39-500000,0)*Hypothèses!$B$67)</f>
        <v/>
      </c>
      <c r="E40" s="7">
        <f>IF(E39&lt;=0,0,MIN(E39,500000)*Hypothèses!$B$66+MAX(E39-500000,0)*Hypothèses!$B$67)</f>
        <v/>
      </c>
      <c r="F40" s="7">
        <f>IF(F39&lt;=0,0,MIN(F39,500000)*Hypothèses!$B$66+MAX(F39-500000,0)*Hypothèses!$B$67)</f>
        <v/>
      </c>
      <c r="G40" s="7">
        <f>IF(G39&lt;=0,0,MIN(G39,500000)*Hypothèses!$B$66+MAX(G39-500000,0)*Hypothèses!$B$67)</f>
        <v/>
      </c>
    </row>
    <row r="41">
      <c r="A41" s="2" t="inlineStr">
        <is>
          <t>Bénéfice net</t>
        </is>
      </c>
      <c r="B41" s="7">
        <f>B39-B40</f>
        <v/>
      </c>
      <c r="C41" s="7">
        <f>C39-C40</f>
        <v/>
      </c>
      <c r="D41" s="7">
        <f>D39-D40</f>
        <v/>
      </c>
      <c r="E41" s="7">
        <f>E39-E40</f>
        <v/>
      </c>
      <c r="F41" s="7">
        <f>F39-F40</f>
        <v/>
      </c>
      <c r="G41" s="7">
        <f>G39-G40</f>
        <v/>
      </c>
    </row>
    <row r="43">
      <c r="A43" t="inlineStr">
        <is>
          <t>Service de la dette : prêt senior</t>
        </is>
      </c>
      <c r="B43" s="7">
        <f>B38</f>
        <v/>
      </c>
      <c r="C43" s="7">
        <f>Dette!$D$65</f>
        <v/>
      </c>
      <c r="D43" s="7">
        <f>Dette!$D$66</f>
        <v/>
      </c>
      <c r="E43" s="7">
        <f>Dette!$D$67</f>
        <v/>
      </c>
      <c r="F43" s="7">
        <f>Dette!$D$68</f>
        <v/>
      </c>
      <c r="G43" s="7">
        <f>Dette!$D$69</f>
        <v/>
      </c>
    </row>
    <row r="44">
      <c r="A44" t="inlineStr">
        <is>
          <t>Service de la dette : toutes couches</t>
        </is>
      </c>
      <c r="B44" s="7">
        <f>B38</f>
        <v/>
      </c>
      <c r="C44" s="7">
        <f>Dette!$D$65+Dette!$D$135+Dette!$D$205+Dette!$D$275+Dette!$D$345</f>
        <v/>
      </c>
      <c r="D44" s="7">
        <f>Dette!$D$66+Dette!$D$136+Dette!$D$206+Dette!$D$276+Dette!$D$346</f>
        <v/>
      </c>
      <c r="E44" s="7">
        <f>Dette!$D$67+Dette!$D$137+Dette!$D$207+Dette!$D$277+Dette!$D$347</f>
        <v/>
      </c>
      <c r="F44" s="7">
        <f>Dette!$D$68+Dette!$D$138+Dette!$D$208+Dette!$D$278+Dette!$D$348</f>
        <v/>
      </c>
      <c r="G44" s="7">
        <f>Dette!$D$69+Dette!$D$139+Dette!$D$209+Dette!$D$279+Dette!$D$349</f>
        <v/>
      </c>
    </row>
    <row r="45">
      <c r="A45" t="inlineStr">
        <is>
          <t>Remboursement de capital (toutes couches)</t>
        </is>
      </c>
      <c r="B45" s="7" t="n">
        <v>0</v>
      </c>
      <c r="C45" s="7">
        <f>Dette!$C$65+Dette!$C$135+Dette!$C$205+Dette!$C$275+Dette!$C$345</f>
        <v/>
      </c>
      <c r="D45" s="7">
        <f>Dette!$C$66+Dette!$C$136+Dette!$C$206+Dette!$C$276+Dette!$C$346</f>
        <v/>
      </c>
      <c r="E45" s="7">
        <f>Dette!$C$67+Dette!$C$137+Dette!$C$207+Dette!$C$277+Dette!$C$347</f>
        <v/>
      </c>
      <c r="F45" s="7">
        <f>Dette!$C$68+Dette!$C$138+Dette!$C$208+Dette!$C$278+Dette!$C$348</f>
        <v/>
      </c>
      <c r="G45" s="7">
        <f>Dette!$C$69+Dette!$C$139+Dette!$C$209+Dette!$C$279+Dette!$C$349</f>
        <v/>
      </c>
    </row>
    <row r="46">
      <c r="A46" t="inlineStr">
        <is>
          <t>Immobilisations de maintien</t>
        </is>
      </c>
      <c r="B46" s="7" t="n">
        <v>0</v>
      </c>
      <c r="C46" s="7">
        <f>C$14*Hypothèses!$B$57</f>
        <v/>
      </c>
      <c r="D46" s="7">
        <f>D$14*Hypothèses!$B$57</f>
        <v/>
      </c>
      <c r="E46" s="7">
        <f>E$14*Hypothèses!$B$57</f>
        <v/>
      </c>
      <c r="F46" s="7">
        <f>F$14*Hypothèses!$B$57</f>
        <v/>
      </c>
      <c r="G46" s="7">
        <f>G$14*Hypothèses!$B$57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Flux de trésorerie (méthode indirecte)</t>
        </is>
      </c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t="inlineStr">
        <is>
          <t>Bénéfice net</t>
        </is>
      </c>
      <c r="B2" s="7">
        <f>Résultats!B41</f>
        <v/>
      </c>
      <c r="C2" s="7">
        <f>Résultats!C41</f>
        <v/>
      </c>
      <c r="D2" s="7">
        <f>Résultats!D41</f>
        <v/>
      </c>
      <c r="E2" s="7">
        <f>Résultats!E41</f>
        <v/>
      </c>
      <c r="F2" s="7">
        <f>Résultats!F41</f>
        <v/>
      </c>
      <c r="G2" s="7">
        <f>Résultats!G41</f>
        <v/>
      </c>
    </row>
    <row r="3">
      <c r="A3" t="inlineStr">
        <is>
          <t>Plus : amortissement</t>
        </is>
      </c>
      <c r="B3" s="7">
        <f>Résultats!B37</f>
        <v/>
      </c>
      <c r="C3" s="7">
        <f>Résultats!C37</f>
        <v/>
      </c>
      <c r="D3" s="7">
        <f>Résultats!D37</f>
        <v/>
      </c>
      <c r="E3" s="7">
        <f>Résultats!E37</f>
        <v/>
      </c>
      <c r="F3" s="7">
        <f>Résultats!F37</f>
        <v/>
      </c>
      <c r="G3" s="7">
        <f>Résultats!G37</f>
        <v/>
      </c>
    </row>
    <row r="4">
      <c r="A4" s="2" t="inlineStr">
        <is>
          <t>Flux d'exploitation</t>
        </is>
      </c>
      <c r="B4" s="7">
        <f>B2+B3</f>
        <v/>
      </c>
      <c r="C4" s="7">
        <f>C2+C3</f>
        <v/>
      </c>
      <c r="D4" s="7">
        <f>D2+D3</f>
        <v/>
      </c>
      <c r="E4" s="7">
        <f>E2+E3</f>
        <v/>
      </c>
      <c r="F4" s="7">
        <f>F2+F3</f>
        <v/>
      </c>
      <c r="G4" s="7">
        <f>G2+G3</f>
        <v/>
      </c>
    </row>
    <row r="5">
      <c r="A5" t="inlineStr">
        <is>
          <t>Moins : remboursement de capital</t>
        </is>
      </c>
      <c r="B5" s="7">
        <f>-Résultats!B45</f>
        <v/>
      </c>
      <c r="C5" s="7">
        <f>-Résultats!C45</f>
        <v/>
      </c>
      <c r="D5" s="7">
        <f>-Résultats!D45</f>
        <v/>
      </c>
      <c r="E5" s="7">
        <f>-Résultats!E45</f>
        <v/>
      </c>
      <c r="F5" s="7">
        <f>-Résultats!F45</f>
        <v/>
      </c>
      <c r="G5" s="7">
        <f>-Résultats!G45</f>
        <v/>
      </c>
    </row>
    <row r="6">
      <c r="A6" t="inlineStr">
        <is>
          <t>Moins : immobilisations de maintien</t>
        </is>
      </c>
      <c r="B6" s="7">
        <f>-Résultats!B46</f>
        <v/>
      </c>
      <c r="C6" s="7">
        <f>-Résultats!C46</f>
        <v/>
      </c>
      <c r="D6" s="7">
        <f>-Résultats!D46</f>
        <v/>
      </c>
      <c r="E6" s="7">
        <f>-Résultats!E46</f>
        <v/>
      </c>
      <c r="F6" s="7">
        <f>-Résultats!F46</f>
        <v/>
      </c>
      <c r="G6" s="7">
        <f>-Résultats!G46</f>
        <v/>
      </c>
    </row>
    <row r="7">
      <c r="A7" s="2" t="inlineStr">
        <is>
          <t>Flux disponible</t>
        </is>
      </c>
      <c r="B7" s="7">
        <f>B4+B5+B6</f>
        <v/>
      </c>
      <c r="C7" s="7">
        <f>C4+C5+C6</f>
        <v/>
      </c>
      <c r="D7" s="7">
        <f>D4+D5+D6</f>
        <v/>
      </c>
      <c r="E7" s="7">
        <f>E4+E5+E6</f>
        <v/>
      </c>
      <c r="F7" s="7">
        <f>F4+F5+F6</f>
        <v/>
      </c>
      <c r="G7" s="7">
        <f>G4+G5+G6</f>
        <v/>
      </c>
    </row>
    <row r="8">
      <c r="A8" s="2" t="inlineStr">
        <is>
          <t>Trésorerie cumulée depuis la clôture</t>
        </is>
      </c>
      <c r="B8" s="7">
        <f>0</f>
        <v/>
      </c>
      <c r="C8" s="7">
        <f>B8+C7</f>
        <v/>
      </c>
      <c r="D8" s="7">
        <f>C8+D7</f>
        <v/>
      </c>
      <c r="E8" s="7">
        <f>D8+E7</f>
        <v/>
      </c>
      <c r="F8" s="7">
        <f>E8+F7</f>
        <v/>
      </c>
      <c r="G8" s="7">
        <f>F8+G7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Amortissement comptable et DPA</t>
        </is>
      </c>
      <c r="B1" s="1" t="inlineStr">
        <is>
          <t>2026</t>
        </is>
      </c>
      <c r="C1" s="1" t="inlineStr">
        <is>
          <t>An 1</t>
        </is>
      </c>
      <c r="D1" s="1" t="inlineStr">
        <is>
          <t>An 2</t>
        </is>
      </c>
      <c r="E1" s="1" t="inlineStr">
        <is>
          <t>An 3</t>
        </is>
      </c>
      <c r="F1" s="1" t="inlineStr">
        <is>
          <t>An 4</t>
        </is>
      </c>
      <c r="G1" s="1" t="inlineStr">
        <is>
          <t>An 5</t>
        </is>
      </c>
    </row>
    <row r="2">
      <c r="A2" t="inlineStr">
        <is>
          <t>Base capitalisée (phase 1a, contingence et honoraires au prorata)</t>
        </is>
      </c>
      <c r="B2" s="7">
        <f>Investissement!B2+Investissement!B3+Investissement!B4</f>
        <v/>
      </c>
    </row>
    <row r="3">
      <c r="A3" s="2" t="inlineStr">
        <is>
          <t>Amortissement comptable total (→ Résultats)</t>
        </is>
      </c>
      <c r="B3" s="7">
        <f>B4+B5</f>
        <v/>
      </c>
      <c r="C3" s="7">
        <f>C4+C5</f>
        <v/>
      </c>
      <c r="D3" s="7">
        <f>D4+D5</f>
        <v/>
      </c>
      <c r="E3" s="7">
        <f>E4+E5</f>
        <v/>
      </c>
      <c r="F3" s="7">
        <f>F4+F5</f>
        <v/>
      </c>
      <c r="G3" s="7">
        <f>G4+G5</f>
        <v/>
      </c>
    </row>
    <row r="4">
      <c r="A4" t="inlineStr">
        <is>
          <t>Existant</t>
        </is>
      </c>
      <c r="B4" s="7">
        <f>Hypothèses!$B$65</f>
        <v/>
      </c>
      <c r="C4" s="7">
        <f>Hypothèses!$B$65</f>
        <v/>
      </c>
      <c r="D4" s="7">
        <f>Hypothèses!$B$65</f>
        <v/>
      </c>
      <c r="E4" s="7">
        <f>Hypothèses!$B$65</f>
        <v/>
      </c>
      <c r="F4" s="7">
        <f>Hypothèses!$B$65</f>
        <v/>
      </c>
      <c r="G4" s="7">
        <f>Hypothèses!$B$65</f>
        <v/>
      </c>
    </row>
    <row r="5">
      <c r="A5" t="inlineStr">
        <is>
          <t>Nouveau (linéaire moyen 5 % ; phase 1a mise en service An 1, demi-année)</t>
        </is>
      </c>
      <c r="B5" s="7">
        <f>0</f>
        <v/>
      </c>
      <c r="C5" s="7">
        <f>$B$2*0.05*0.5</f>
        <v/>
      </c>
      <c r="D5" s="7">
        <f>$B$2*0.05</f>
        <v/>
      </c>
      <c r="E5" s="7">
        <f>$B$2*0.05</f>
        <v/>
      </c>
      <c r="F5" s="7">
        <f>$B$2*0.05</f>
        <v/>
      </c>
      <c r="G5" s="7">
        <f>$B$2*0.05</f>
        <v/>
      </c>
    </row>
    <row r="7">
      <c r="A7" s="2" t="inlineStr">
        <is>
          <t>DPA fiscale (solde dégressif, demi-année) — informatif</t>
        </is>
      </c>
    </row>
    <row r="8">
      <c r="A8" s="1" t="inlineStr">
        <is>
          <t>Catégorie</t>
        </is>
      </c>
      <c r="B8" s="1" t="inlineStr">
        <is>
          <t>Taux</t>
        </is>
      </c>
      <c r="C8" s="1" t="inlineStr">
        <is>
          <t>Base</t>
        </is>
      </c>
      <c r="D8" s="1" t="inlineStr">
        <is>
          <t>DPA An 1</t>
        </is>
      </c>
      <c r="E8" s="1" t="inlineStr">
        <is>
          <t>DPA An 2</t>
        </is>
      </c>
      <c r="F8" s="1" t="inlineStr">
        <is>
          <t>DPA An 3</t>
        </is>
      </c>
      <c r="G8" s="1" t="inlineStr">
        <is>
          <t>DPA An 4</t>
        </is>
      </c>
      <c r="H8" s="1" t="inlineStr">
        <is>
          <t>DPA An 5</t>
        </is>
      </c>
    </row>
    <row r="9">
      <c r="A9" t="inlineStr">
        <is>
          <t>Cat. 1 — bâtiments : hôtel, restaurant, villas, chalets</t>
        </is>
      </c>
      <c r="B9" s="8" t="n">
        <v>0.04</v>
      </c>
      <c r="C9" s="7" t="n">
        <v>2011284.634760705</v>
      </c>
      <c r="D9" s="7" t="n">
        <v>40225.69269521411</v>
      </c>
      <c r="E9" s="7" t="n">
        <v>78842.35768261965</v>
      </c>
      <c r="F9" s="7" t="n">
        <v>75688.66337531486</v>
      </c>
      <c r="G9" s="7" t="n">
        <v>72661.11684030226</v>
      </c>
      <c r="H9" s="7" t="n">
        <v>69754.67216669017</v>
      </c>
    </row>
    <row r="10">
      <c r="A10" t="inlineStr">
        <is>
          <t>Cat. 8 — équipements : mobilier</t>
        </is>
      </c>
      <c r="B10" s="8" t="n">
        <v>0.2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t="inlineStr">
        <is>
          <t>Cat. 6 — unités d'hébergement préfabriquées sur structure d'acier (Coolbox)</t>
        </is>
      </c>
      <c r="B11" s="8" t="n">
        <v>0.1</v>
      </c>
      <c r="C11" s="7" t="n">
        <v>2368846.347607053</v>
      </c>
      <c r="D11" s="7" t="n">
        <v>118442.3173803526</v>
      </c>
      <c r="E11" s="7" t="n">
        <v>225040.40302267</v>
      </c>
      <c r="F11" s="7" t="n">
        <v>202536.362720403</v>
      </c>
      <c r="G11" s="7" t="n">
        <v>182282.7264483627</v>
      </c>
      <c r="H11" s="7" t="n">
        <v>164054.4538035264</v>
      </c>
    </row>
    <row r="12">
      <c r="A12" t="inlineStr">
        <is>
          <t>Cat. 17 — aménagements de surface : conversion de terrains saisonniers</t>
        </is>
      </c>
      <c r="B12" s="8" t="n">
        <v>0.08</v>
      </c>
      <c r="C12" s="7" t="n">
        <v>55869.01763224181</v>
      </c>
      <c r="D12" s="7" t="n">
        <v>2234.760705289672</v>
      </c>
      <c r="E12" s="7" t="n">
        <v>4290.740554156171</v>
      </c>
      <c r="F12" s="7" t="n">
        <v>3947.481309823678</v>
      </c>
      <c r="G12" s="7" t="n">
        <v>3631.682805037784</v>
      </c>
      <c r="H12" s="7" t="n">
        <v>3341.148180634762</v>
      </c>
    </row>
    <row r="13">
      <c r="A13" t="inlineStr">
        <is>
          <t>Frais de financement (déductibles sur 5 ans)</t>
        </is>
      </c>
      <c r="B13" s="8" t="n">
        <v>0.2</v>
      </c>
      <c r="C13" s="7" t="n">
        <v>125000</v>
      </c>
      <c r="D13" s="7" t="n">
        <v>25000</v>
      </c>
      <c r="E13" s="7" t="n">
        <v>25000</v>
      </c>
      <c r="F13" s="7" t="n">
        <v>25000</v>
      </c>
      <c r="G13" s="7" t="n">
        <v>25000</v>
      </c>
      <c r="H13" s="7" t="n">
        <v>25000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Bilan pro forma au 31 décembre</t>
        </is>
      </c>
      <c r="B1" s="1" t="inlineStr">
        <is>
          <t>An 1</t>
        </is>
      </c>
      <c r="C1" s="1" t="inlineStr">
        <is>
          <t>An 2</t>
        </is>
      </c>
      <c r="D1" s="1" t="inlineStr">
        <is>
          <t>An 3</t>
        </is>
      </c>
      <c r="E1" s="1" t="inlineStr">
        <is>
          <t>An 4</t>
        </is>
      </c>
      <c r="F1" s="1" t="inlineStr">
        <is>
          <t>An 5</t>
        </is>
      </c>
    </row>
    <row r="2">
      <c r="A2" t="inlineStr">
        <is>
          <t>Immobilisations existantes au coût déclaré (hyp.)</t>
        </is>
      </c>
      <c r="B2" s="4" t="n">
        <v>11915000</v>
      </c>
    </row>
    <row r="3">
      <c r="A3" t="inlineStr">
        <is>
          <t>Amortissement cumulé estimé au 31-12-2026 (hyp.)</t>
        </is>
      </c>
      <c r="B3" s="4" t="n">
        <v>3000000</v>
      </c>
    </row>
    <row r="5">
      <c r="A5" s="2" t="inlineStr">
        <is>
          <t>ACTIF</t>
        </is>
      </c>
    </row>
    <row r="6">
      <c r="A6" t="inlineStr">
        <is>
          <t>Encaisse</t>
        </is>
      </c>
      <c r="B6" s="7">
        <f>Investissement!B9+Investissement!B7+Flux!C8</f>
        <v/>
      </c>
      <c r="C6" s="7">
        <f>Investissement!B9+Investissement!B7+Flux!D8</f>
        <v/>
      </c>
      <c r="D6" s="7">
        <f>Investissement!B9+Investissement!B7+Flux!E8</f>
        <v/>
      </c>
      <c r="E6" s="7">
        <f>Investissement!B9+Investissement!B7+Flux!F8</f>
        <v/>
      </c>
      <c r="F6" s="7">
        <f>Investissement!B9+Investissement!B7+Flux!G8</f>
        <v/>
      </c>
    </row>
    <row r="7">
      <c r="A7" t="inlineStr">
        <is>
          <t>Immobilisations existantes, nettes</t>
        </is>
      </c>
      <c r="B7" s="7">
        <f>$B$2-$B$3-Hypothèses!$B$65*1</f>
        <v/>
      </c>
      <c r="C7" s="7">
        <f>$B$2-$B$3-Hypothèses!$B$65*2</f>
        <v/>
      </c>
      <c r="D7" s="7">
        <f>$B$2-$B$3-Hypothèses!$B$65*3</f>
        <v/>
      </c>
      <c r="E7" s="7">
        <f>$B$2-$B$3-Hypothèses!$B$65*4</f>
        <v/>
      </c>
      <c r="F7" s="7">
        <f>$B$2-$B$3-Hypothèses!$B$65*5</f>
        <v/>
      </c>
    </row>
    <row r="8">
      <c r="A8" t="inlineStr">
        <is>
          <t>Nouvelles immobilisations, nettes</t>
        </is>
      </c>
      <c r="B8" s="7">
        <f>DPA!$B$2+SUM(Résultats!$C$46:C$46)-SUM(DPA!$C$5:C$5)</f>
        <v/>
      </c>
      <c r="C8" s="7">
        <f>DPA!$B$2+SUM(Résultats!$C$46:D$46)-SUM(DPA!$C$5:D$5)</f>
        <v/>
      </c>
      <c r="D8" s="7">
        <f>DPA!$B$2+SUM(Résultats!$C$46:E$46)-SUM(DPA!$C$5:E$5)</f>
        <v/>
      </c>
      <c r="E8" s="7">
        <f>DPA!$B$2+SUM(Résultats!$C$46:F$46)-SUM(DPA!$C$5:F$5)</f>
        <v/>
      </c>
      <c r="F8" s="7">
        <f>DPA!$B$2+SUM(Résultats!$C$46:G$46)-SUM(DPA!$C$5:G$5)</f>
        <v/>
      </c>
    </row>
    <row r="9">
      <c r="A9" t="inlineStr">
        <is>
          <t>Frais reportés</t>
        </is>
      </c>
      <c r="B9" s="7">
        <f>(Investissement!B6+Investissement!B8)*(1-1/5)</f>
        <v/>
      </c>
      <c r="C9" s="7">
        <f>(Investissement!B6+Investissement!B8)*(1-2/5)</f>
        <v/>
      </c>
      <c r="D9" s="7">
        <f>(Investissement!B6+Investissement!B8)*(1-3/5)</f>
        <v/>
      </c>
      <c r="E9" s="7">
        <f>(Investissement!B6+Investissement!B8)*(1-4/5)</f>
        <v/>
      </c>
      <c r="F9" s="7">
        <f>(Investissement!B6+Investissement!B8)*(1-5/5)</f>
        <v/>
      </c>
    </row>
    <row r="10">
      <c r="A10" s="2" t="inlineStr">
        <is>
          <t>Total de l'actif</t>
        </is>
      </c>
      <c r="B10" s="7">
        <f>SUM(B6:B9)</f>
        <v/>
      </c>
      <c r="C10" s="7">
        <f>SUM(C6:C9)</f>
        <v/>
      </c>
      <c r="D10" s="7">
        <f>SUM(D6:D9)</f>
        <v/>
      </c>
      <c r="E10" s="7">
        <f>SUM(E6:E9)</f>
        <v/>
      </c>
      <c r="F10" s="7">
        <f>SUM(F6:F9)</f>
        <v/>
      </c>
    </row>
    <row r="11">
      <c r="A11" t="inlineStr">
        <is>
          <t>PASSIF</t>
        </is>
      </c>
    </row>
    <row r="12">
      <c r="A12" s="2" t="inlineStr">
        <is>
          <t>Dette totale (toutes couches)</t>
        </is>
      </c>
      <c r="B12" s="7">
        <f>Dette!$E$65+Dette!$E$135+Dette!$E$205+Dette!$E$275+Dette!$E$345</f>
        <v/>
      </c>
      <c r="C12" s="7">
        <f>Dette!$E$66+Dette!$E$136+Dette!$E$206+Dette!$E$276+Dette!$E$346</f>
        <v/>
      </c>
      <c r="D12" s="7">
        <f>Dette!$E$67+Dette!$E$137+Dette!$E$207+Dette!$E$277+Dette!$E$347</f>
        <v/>
      </c>
      <c r="E12" s="7">
        <f>Dette!$E$68+Dette!$E$138+Dette!$E$208+Dette!$E$278+Dette!$E$348</f>
        <v/>
      </c>
      <c r="F12" s="7">
        <f>Dette!$E$69+Dette!$E$139+Dette!$E$209+Dette!$E$279+Dette!$E$349</f>
        <v/>
      </c>
    </row>
    <row r="13">
      <c r="A13" s="2" t="inlineStr">
        <is>
          <t>AVOIR</t>
        </is>
      </c>
    </row>
    <row r="14">
      <c r="A14" t="inlineStr">
        <is>
          <t>Avoir à l'ouverture</t>
        </is>
      </c>
      <c r="B14" s="7">
        <f>$B$2-$B$3+Investissement!B9+Investissement!B7+(Investissement!B6+Investissement!B8)+DPA!$B$2-SUM(Investissement!B14:B18)</f>
        <v/>
      </c>
      <c r="C14" s="7">
        <f>$B$2-$B$3+Investissement!B9+Investissement!B7+(Investissement!B6+Investissement!B8)+DPA!$B$2-SUM(Investissement!B14:B18)</f>
        <v/>
      </c>
      <c r="D14" s="7">
        <f>$B$2-$B$3+Investissement!B9+Investissement!B7+(Investissement!B6+Investissement!B8)+DPA!$B$2-SUM(Investissement!B14:B18)</f>
        <v/>
      </c>
      <c r="E14" s="7">
        <f>$B$2-$B$3+Investissement!B9+Investissement!B7+(Investissement!B6+Investissement!B8)+DPA!$B$2-SUM(Investissement!B14:B18)</f>
        <v/>
      </c>
      <c r="F14" s="7">
        <f>$B$2-$B$3+Investissement!B9+Investissement!B7+(Investissement!B6+Investissement!B8)+DPA!$B$2-SUM(Investissement!B14:B18)</f>
        <v/>
      </c>
    </row>
    <row r="15">
      <c r="A15" t="inlineStr">
        <is>
          <t>Bénéfices non répartis cumulés (nets de l'amortissement des frais reportés)</t>
        </is>
      </c>
      <c r="B15" s="7">
        <f>SUM(Résultats!$C$41:C$41)-(Investissement!B6+Investissement!B8)*1/5</f>
        <v/>
      </c>
      <c r="C15" s="7">
        <f>SUM(Résultats!$C$41:D$41)-(Investissement!B6+Investissement!B8)*2/5</f>
        <v/>
      </c>
      <c r="D15" s="7">
        <f>SUM(Résultats!$C$41:E$41)-(Investissement!B6+Investissement!B8)*3/5</f>
        <v/>
      </c>
      <c r="E15" s="7">
        <f>SUM(Résultats!$C$41:F$41)-(Investissement!B6+Investissement!B8)*4/5</f>
        <v/>
      </c>
      <c r="F15" s="7">
        <f>SUM(Résultats!$C$41:G$41)-(Investissement!B6+Investissement!B8)*5/5</f>
        <v/>
      </c>
    </row>
    <row r="16">
      <c r="A16" t="inlineStr">
        <is>
          <t>Total de l'avoir</t>
        </is>
      </c>
      <c r="B16" s="7">
        <f>B14+B15</f>
        <v/>
      </c>
      <c r="C16" s="7">
        <f>C14+C15</f>
        <v/>
      </c>
      <c r="D16" s="7">
        <f>D14+D15</f>
        <v/>
      </c>
      <c r="E16" s="7">
        <f>E14+E15</f>
        <v/>
      </c>
      <c r="F16" s="7">
        <f>F14+F15</f>
        <v/>
      </c>
    </row>
    <row r="17">
      <c r="A17" s="2" t="inlineStr">
        <is>
          <t>Total passif + avoir</t>
        </is>
      </c>
      <c r="B17" s="7">
        <f>B12+B16</f>
        <v/>
      </c>
      <c r="C17" s="7">
        <f>C12+C16</f>
        <v/>
      </c>
      <c r="D17" s="7">
        <f>D12+D16</f>
        <v/>
      </c>
      <c r="E17" s="7">
        <f>E12+E16</f>
        <v/>
      </c>
      <c r="F17" s="7">
        <f>F12+F16</f>
        <v/>
      </c>
    </row>
    <row r="18">
      <c r="A18" s="2" t="inlineStr">
        <is>
          <t>Écart (doit être 0)</t>
        </is>
      </c>
      <c r="B18" s="7">
        <f>B10-B17</f>
        <v/>
      </c>
      <c r="C18" s="7">
        <f>C10-C17</f>
        <v/>
      </c>
      <c r="D18" s="7">
        <f>D10-D17</f>
        <v/>
      </c>
      <c r="E18" s="7">
        <f>E10-E17</f>
        <v/>
      </c>
      <c r="F18" s="7">
        <f>F10-F17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Ratio</t>
        </is>
      </c>
      <c r="B1" s="1" t="inlineStr">
        <is>
          <t>An 1</t>
        </is>
      </c>
      <c r="C1" s="1" t="inlineStr">
        <is>
          <t>An 2</t>
        </is>
      </c>
      <c r="D1" s="1" t="inlineStr">
        <is>
          <t>An 3</t>
        </is>
      </c>
      <c r="E1" s="1" t="inlineStr">
        <is>
          <t>An 4</t>
        </is>
      </c>
      <c r="F1" s="1" t="inlineStr">
        <is>
          <t>An 5</t>
        </is>
      </c>
    </row>
    <row r="2">
      <c r="A2" t="inlineStr">
        <is>
          <t>Couverture du prêt senior (BAIIA / service senior)</t>
        </is>
      </c>
      <c r="B2" s="9">
        <f>Résultats!C35/Résultats!C43</f>
        <v/>
      </c>
      <c r="C2" s="9">
        <f>Résultats!D35/Résultats!D43</f>
        <v/>
      </c>
      <c r="D2" s="9">
        <f>Résultats!E35/Résultats!E43</f>
        <v/>
      </c>
      <c r="E2" s="9">
        <f>Résultats!F35/Résultats!F43</f>
        <v/>
      </c>
      <c r="F2" s="9">
        <f>Résultats!G35/Résultats!G43</f>
        <v/>
      </c>
    </row>
    <row r="3">
      <c r="A3" t="inlineStr">
        <is>
          <t>Couverture toutes couches (BAIIA / service total)</t>
        </is>
      </c>
      <c r="B3" s="9">
        <f>Résultats!C35/Résultats!C44</f>
        <v/>
      </c>
      <c r="C3" s="9">
        <f>Résultats!D35/Résultats!D44</f>
        <v/>
      </c>
      <c r="D3" s="9">
        <f>Résultats!E35/Résultats!E44</f>
        <v/>
      </c>
      <c r="E3" s="9">
        <f>Résultats!F35/Résultats!F44</f>
        <v/>
      </c>
      <c r="F3" s="9">
        <f>Résultats!G35/Résultats!G44</f>
        <v/>
      </c>
    </row>
    <row r="4">
      <c r="A4" t="inlineStr">
        <is>
          <t>Couverture bancaire ((BAIIA − impôts − maintien) / service total)</t>
        </is>
      </c>
      <c r="B4" s="9">
        <f>(Résultats!C35-Résultats!C40-Résultats!C46)/Résultats!C44</f>
        <v/>
      </c>
      <c r="C4" s="9">
        <f>(Résultats!D35-Résultats!D40-Résultats!D46)/Résultats!D44</f>
        <v/>
      </c>
      <c r="D4" s="9">
        <f>(Résultats!E35-Résultats!E40-Résultats!E46)/Résultats!E44</f>
        <v/>
      </c>
      <c r="E4" s="9">
        <f>(Résultats!F35-Résultats!F40-Résultats!F46)/Résultats!F44</f>
        <v/>
      </c>
      <c r="F4" s="9">
        <f>(Résultats!G35-Résultats!G40-Résultats!G46)/Résultats!G44</f>
        <v/>
      </c>
    </row>
    <row r="5">
      <c r="A5" t="inlineStr">
        <is>
          <t>Couverture des intérêts</t>
        </is>
      </c>
      <c r="B5" s="9">
        <f>Résultats!C35/Résultats!C38</f>
        <v/>
      </c>
      <c r="C5" s="9">
        <f>Résultats!D35/Résultats!D38</f>
        <v/>
      </c>
      <c r="D5" s="9">
        <f>Résultats!E35/Résultats!E38</f>
        <v/>
      </c>
      <c r="E5" s="9">
        <f>Résultats!F35/Résultats!F38</f>
        <v/>
      </c>
      <c r="F5" s="9">
        <f>Résultats!G35/Résultats!G38</f>
        <v/>
      </c>
    </row>
    <row r="6">
      <c r="A6" t="inlineStr">
        <is>
          <t>Dette totale / BAIIA</t>
        </is>
      </c>
      <c r="B6" s="10">
        <f>Bilan!B12/Résultats!C35</f>
        <v/>
      </c>
      <c r="C6" s="10">
        <f>Bilan!C12/Résultats!D35</f>
        <v/>
      </c>
      <c r="D6" s="10">
        <f>Bilan!D12/Résultats!E35</f>
        <v/>
      </c>
      <c r="E6" s="10">
        <f>Bilan!E12/Résultats!F35</f>
        <v/>
      </c>
      <c r="F6" s="10">
        <f>Bilan!F12/Résultats!G35</f>
        <v/>
      </c>
    </row>
    <row r="7">
      <c r="A7" t="inlineStr">
        <is>
          <t>Dette / avoir</t>
        </is>
      </c>
      <c r="B7" s="9">
        <f>Bilan!B12/Bilan!B16</f>
        <v/>
      </c>
      <c r="C7" s="9">
        <f>Bilan!C12/Bilan!C16</f>
        <v/>
      </c>
      <c r="D7" s="9">
        <f>Bilan!D12/Bilan!D16</f>
        <v/>
      </c>
      <c r="E7" s="9">
        <f>Bilan!E12/Bilan!E16</f>
        <v/>
      </c>
      <c r="F7" s="9">
        <f>Bilan!F12/Bilan!F16</f>
        <v/>
      </c>
    </row>
    <row r="8">
      <c r="A8" t="inlineStr">
        <is>
          <t>Marge BAIIA</t>
        </is>
      </c>
      <c r="B8" s="8">
        <f>Résultats!C35/Résultats!C14</f>
        <v/>
      </c>
      <c r="C8" s="8">
        <f>Résultats!D35/Résultats!D14</f>
        <v/>
      </c>
      <c r="D8" s="8">
        <f>Résultats!E35/Résultats!E14</f>
        <v/>
      </c>
      <c r="E8" s="8">
        <f>Résultats!F35/Résultats!F14</f>
        <v/>
      </c>
      <c r="F8" s="8">
        <f>Résultats!G35/Résultats!G14</f>
        <v/>
      </c>
    </row>
    <row r="9">
      <c r="A9" t="inlineStr">
        <is>
          <t>Marge nette</t>
        </is>
      </c>
      <c r="B9" s="8">
        <f>Résultats!C41/Résultats!C14</f>
        <v/>
      </c>
      <c r="C9" s="8">
        <f>Résultats!D41/Résultats!D14</f>
        <v/>
      </c>
      <c r="D9" s="8">
        <f>Résultats!E41/Résultats!E14</f>
        <v/>
      </c>
      <c r="E9" s="8">
        <f>Résultats!F41/Résultats!F14</f>
        <v/>
      </c>
      <c r="F9" s="8">
        <f>Résultats!G41/Résultats!G14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1" t="inlineStr">
        <is>
          <t>Sensibilité : modifier « SCÉNARIO : facteur sur les revenus » dans Hypothèses (1 = base, 0,9 = −10 %, etc.) ; les charges variables suivent selon leur part variable. Tableau statique ci-dessous produit par le modèle Python pour référence.</t>
        </is>
      </c>
    </row>
    <row r="3">
      <c r="A3" s="1" t="inlineStr">
        <is>
          <t>Scénario</t>
        </is>
      </c>
      <c r="B3" s="1" t="inlineStr">
        <is>
          <t>Toutes couches An 2</t>
        </is>
      </c>
      <c r="C3" s="1" t="inlineStr">
        <is>
          <t>An 3</t>
        </is>
      </c>
      <c r="D3" s="1" t="inlineStr">
        <is>
          <t>An 5</t>
        </is>
      </c>
      <c r="E3" s="1" t="inlineStr">
        <is>
          <t>Bancaire An 3</t>
        </is>
      </c>
      <c r="F3" s="1" t="inlineStr">
        <is>
          <t>Bancaire An 5</t>
        </is>
      </c>
    </row>
    <row r="4">
      <c r="A4" t="inlineStr">
        <is>
          <t>Scénario de base</t>
        </is>
      </c>
      <c r="B4" s="9" t="n">
        <v>1.48</v>
      </c>
      <c r="C4" s="9" t="n">
        <v>1.68</v>
      </c>
      <c r="D4" s="9" t="n">
        <v>1.96</v>
      </c>
      <c r="E4" s="9" t="n">
        <v>1.47</v>
      </c>
      <c r="F4" s="9" t="n">
        <v>1.66</v>
      </c>
    </row>
    <row r="5">
      <c r="A5" t="inlineStr">
        <is>
          <t>Revenus −10 %</t>
        </is>
      </c>
      <c r="B5" s="9" t="n">
        <v>1.02</v>
      </c>
      <c r="C5" s="9" t="n">
        <v>1.23</v>
      </c>
      <c r="D5" s="9" t="n">
        <v>1.49</v>
      </c>
      <c r="E5" s="9" t="n">
        <v>1.09</v>
      </c>
      <c r="F5" s="9" t="n">
        <v>1.29</v>
      </c>
    </row>
    <row r="6">
      <c r="A6" t="inlineStr">
        <is>
          <t>Revenus −15 %</t>
        </is>
      </c>
      <c r="B6" s="9" t="n">
        <v>0.79</v>
      </c>
      <c r="C6" s="9" t="n">
        <v>1.01</v>
      </c>
      <c r="D6" s="9" t="n">
        <v>1.25</v>
      </c>
      <c r="E6" s="9" t="n">
        <v>0.88</v>
      </c>
      <c r="F6" s="9" t="n">
        <v>1.1</v>
      </c>
    </row>
    <row r="7">
      <c r="A7" t="inlineStr">
        <is>
          <t>Revenus −20 %</t>
        </is>
      </c>
      <c r="B7" s="9" t="n">
        <v>0.5600000000000001</v>
      </c>
      <c r="C7" s="9" t="n">
        <v>0.78</v>
      </c>
      <c r="D7" s="9" t="n">
        <v>1.02</v>
      </c>
      <c r="E7" s="9" t="n">
        <v>0.66</v>
      </c>
      <c r="F7" s="9" t="n">
        <v>0.89</v>
      </c>
    </row>
    <row r="8">
      <c r="A8" t="inlineStr">
        <is>
          <t>Revenus d'hiver −50 %</t>
        </is>
      </c>
      <c r="B8" s="9" t="n">
        <v>1.16</v>
      </c>
      <c r="C8" s="9" t="n">
        <v>1.35</v>
      </c>
      <c r="D8" s="9" t="n">
        <v>1.62</v>
      </c>
      <c r="E8" s="9" t="n">
        <v>1.19</v>
      </c>
      <c r="F8" s="9" t="n">
        <v>1.4</v>
      </c>
    </row>
    <row r="9">
      <c r="A9" t="inlineStr">
        <is>
          <t>Restauration −50 %</t>
        </is>
      </c>
      <c r="B9" s="9" t="n">
        <v>1.16</v>
      </c>
      <c r="C9" s="9" t="n">
        <v>1.32</v>
      </c>
      <c r="D9" s="9" t="n">
        <v>1.55</v>
      </c>
      <c r="E9" s="9" t="n">
        <v>1.17</v>
      </c>
      <c r="F9" s="9" t="n">
        <v>1.34</v>
      </c>
    </row>
    <row r="10">
      <c r="A10" t="inlineStr">
        <is>
          <t>Taux senior 8 % (25 ans)</t>
        </is>
      </c>
      <c r="B10" s="9" t="n">
        <v>1.46</v>
      </c>
      <c r="C10" s="9" t="n">
        <v>1.58</v>
      </c>
      <c r="D10" s="9" t="n">
        <v>1.86</v>
      </c>
      <c r="E10" s="9" t="n">
        <v>1.38</v>
      </c>
      <c r="F10" s="9" t="n">
        <v>1.57</v>
      </c>
    </row>
    <row r="11">
      <c r="A11" t="inlineStr">
        <is>
          <t>Taux senior 9 % (25 ans)</t>
        </is>
      </c>
      <c r="B11" s="9" t="n">
        <v>1.34</v>
      </c>
      <c r="C11" s="9" t="n">
        <v>1.49</v>
      </c>
      <c r="D11" s="9" t="n">
        <v>1.76</v>
      </c>
      <c r="E11" s="9" t="n">
        <v>1.3</v>
      </c>
      <c r="F11" s="9" t="n">
        <v>1.48</v>
      </c>
    </row>
    <row r="12">
      <c r="A12" t="inlineStr">
        <is>
          <t>Amortissement senior 20 ans (7 %)</t>
        </is>
      </c>
      <c r="B12" s="9" t="n">
        <v>1.53</v>
      </c>
      <c r="C12" s="9" t="n">
        <v>1.57</v>
      </c>
      <c r="D12" s="9" t="n">
        <v>1.85</v>
      </c>
      <c r="E12" s="9" t="n">
        <v>1.38</v>
      </c>
      <c r="F12" s="9" t="n">
        <v>1.56</v>
      </c>
    </row>
    <row r="14">
      <c r="A14" t="inlineStr">
        <is>
          <t>Part variable calculée (An 3)</t>
        </is>
      </c>
      <c r="B14" s="8" t="n">
        <v>0.5141674560262713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2026-09-04T12:39:07Z</dcterms:created>
  <dcterms:modified xmlns:dcterms="http://purl.org/dc/terms/" xmlns:xsi="http://www.w3.org/2001/XMLSchema-instance" xsi:type="dcterms:W3CDTF">2026-09-04T12:39:07Z</dcterms:modified>
</cp:coreProperties>
</file>