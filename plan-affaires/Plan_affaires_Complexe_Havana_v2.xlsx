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tilisateur\Documents\GitHub\Havana-1\plan-affaires\"/>
    </mc:Choice>
  </mc:AlternateContent>
  <xr:revisionPtr revIDLastSave="0" documentId="13_ncr:1_{F411539D-6084-4095-965C-02B8E1742DAE}" xr6:coauthVersionLast="47" xr6:coauthVersionMax="47" xr10:uidLastSave="{00000000-0000-0000-0000-000000000000}"/>
  <bookViews>
    <workbookView xWindow="8928" yWindow="4668" windowWidth="14112" windowHeight="7572" xr2:uid="{00000000-000D-0000-FFFF-FFFF00000000}"/>
  </bookViews>
  <sheets>
    <sheet name="Hypothèses" sheetId="1" r:id="rId1"/>
    <sheet name="Investissement" sheetId="2" r:id="rId2"/>
    <sheet name="Dette" sheetId="3" r:id="rId3"/>
    <sheet name="Résultats" sheetId="4" r:id="rId4"/>
    <sheet name="Flux" sheetId="5" r:id="rId5"/>
    <sheet name="DPA" sheetId="6" r:id="rId6"/>
    <sheet name="Bilan" sheetId="7" r:id="rId7"/>
    <sheet name="Ratios" sheetId="8" r:id="rId8"/>
    <sheet name="Sensibilité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7" l="1"/>
  <c r="E9" i="7"/>
  <c r="D9" i="7"/>
  <c r="C9" i="7"/>
  <c r="B9" i="7"/>
  <c r="F7" i="7"/>
  <c r="E7" i="7"/>
  <c r="D7" i="7"/>
  <c r="C7" i="7"/>
  <c r="B7" i="7"/>
  <c r="B5" i="6"/>
  <c r="G4" i="6"/>
  <c r="F4" i="6"/>
  <c r="E4" i="6"/>
  <c r="D4" i="6"/>
  <c r="C4" i="6"/>
  <c r="B4" i="6"/>
  <c r="B3" i="6"/>
  <c r="B37" i="4" s="1"/>
  <c r="B3" i="5" s="1"/>
  <c r="B2" i="6"/>
  <c r="B14" i="7" s="1"/>
  <c r="B8" i="5"/>
  <c r="B6" i="5"/>
  <c r="B5" i="5"/>
  <c r="B44" i="4"/>
  <c r="B38" i="4"/>
  <c r="B43" i="4" s="1"/>
  <c r="G31" i="4"/>
  <c r="F31" i="4"/>
  <c r="E31" i="4"/>
  <c r="D31" i="4"/>
  <c r="C31" i="4"/>
  <c r="B31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3" i="4"/>
  <c r="F23" i="4"/>
  <c r="E23" i="4"/>
  <c r="D23" i="4"/>
  <c r="C23" i="4"/>
  <c r="B23" i="4"/>
  <c r="G21" i="4"/>
  <c r="F21" i="4"/>
  <c r="E21" i="4"/>
  <c r="D21" i="4"/>
  <c r="C21" i="4"/>
  <c r="B21" i="4"/>
  <c r="G13" i="4"/>
  <c r="F13" i="4"/>
  <c r="E13" i="4"/>
  <c r="D13" i="4"/>
  <c r="C13" i="4"/>
  <c r="B13" i="4"/>
  <c r="B17" i="4" s="1"/>
  <c r="G12" i="4"/>
  <c r="G18" i="4" s="1"/>
  <c r="F12" i="4"/>
  <c r="F18" i="4" s="1"/>
  <c r="E12" i="4"/>
  <c r="E18" i="4" s="1"/>
  <c r="D12" i="4"/>
  <c r="D18" i="4" s="1"/>
  <c r="C12" i="4"/>
  <c r="C18" i="4" s="1"/>
  <c r="B12" i="4"/>
  <c r="B18" i="4" s="1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F19" i="4" s="1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D306" i="3"/>
  <c r="D303" i="3"/>
  <c r="D302" i="3"/>
  <c r="D298" i="3"/>
  <c r="D295" i="3"/>
  <c r="D293" i="3"/>
  <c r="D287" i="3"/>
  <c r="D286" i="3"/>
  <c r="D285" i="3"/>
  <c r="B284" i="3"/>
  <c r="C284" i="3" s="1"/>
  <c r="H282" i="3"/>
  <c r="D294" i="3" s="1"/>
  <c r="F282" i="3"/>
  <c r="D282" i="3"/>
  <c r="B282" i="3"/>
  <c r="B214" i="3"/>
  <c r="J212" i="3"/>
  <c r="H212" i="3"/>
  <c r="D222" i="3" s="1"/>
  <c r="F212" i="3"/>
  <c r="D212" i="3"/>
  <c r="B212" i="3"/>
  <c r="D167" i="3"/>
  <c r="D165" i="3"/>
  <c r="D151" i="3"/>
  <c r="D147" i="3"/>
  <c r="D146" i="3"/>
  <c r="H142" i="3"/>
  <c r="D162" i="3" s="1"/>
  <c r="F142" i="3"/>
  <c r="D142" i="3"/>
  <c r="B142" i="3"/>
  <c r="B144" i="3" s="1"/>
  <c r="C144" i="3" s="1"/>
  <c r="D94" i="3"/>
  <c r="H72" i="3"/>
  <c r="D77" i="3" s="1"/>
  <c r="F72" i="3"/>
  <c r="D72" i="3"/>
  <c r="B72" i="3"/>
  <c r="B74" i="3" s="1"/>
  <c r="C74" i="3" s="1"/>
  <c r="D11" i="3"/>
  <c r="D10" i="3"/>
  <c r="D9" i="3"/>
  <c r="D8" i="3"/>
  <c r="D6" i="3"/>
  <c r="H2" i="3"/>
  <c r="D5" i="3" s="1"/>
  <c r="F2" i="3"/>
  <c r="D2" i="3"/>
  <c r="B2" i="3"/>
  <c r="B4" i="3" s="1"/>
  <c r="C4" i="3" s="1"/>
  <c r="B11" i="2"/>
  <c r="B21" i="2" s="1"/>
  <c r="J72" i="3" l="1"/>
  <c r="D149" i="3"/>
  <c r="D169" i="3"/>
  <c r="E19" i="4"/>
  <c r="G19" i="4"/>
  <c r="C5" i="6"/>
  <c r="C3" i="6" s="1"/>
  <c r="C37" i="4" s="1"/>
  <c r="C3" i="5" s="1"/>
  <c r="J2" i="3"/>
  <c r="D150" i="3"/>
  <c r="D177" i="3"/>
  <c r="D5" i="6"/>
  <c r="D3" i="6" s="1"/>
  <c r="D37" i="4" s="1"/>
  <c r="D3" i="5" s="1"/>
  <c r="D14" i="3"/>
  <c r="D75" i="3"/>
  <c r="D153" i="3"/>
  <c r="D290" i="3"/>
  <c r="B14" i="4"/>
  <c r="B29" i="4" s="1"/>
  <c r="B19" i="4"/>
  <c r="G5" i="6"/>
  <c r="G3" i="6" s="1"/>
  <c r="G37" i="4" s="1"/>
  <c r="G3" i="5" s="1"/>
  <c r="D178" i="3"/>
  <c r="D84" i="3"/>
  <c r="D161" i="3"/>
  <c r="C11" i="4"/>
  <c r="C17" i="4" s="1"/>
  <c r="C19" i="4"/>
  <c r="F5" i="6"/>
  <c r="D144" i="3"/>
  <c r="D89" i="3"/>
  <c r="D145" i="3"/>
  <c r="F3" i="6"/>
  <c r="F37" i="4" s="1"/>
  <c r="F3" i="5" s="1"/>
  <c r="B19" i="2"/>
  <c r="E144" i="3"/>
  <c r="D92" i="3"/>
  <c r="D97" i="3"/>
  <c r="D12" i="3"/>
  <c r="D4" i="3"/>
  <c r="E4" i="3" s="1"/>
  <c r="D7" i="3"/>
  <c r="D15" i="3"/>
  <c r="D13" i="3"/>
  <c r="F74" i="3"/>
  <c r="B75" i="3" s="1"/>
  <c r="F144" i="3"/>
  <c r="B145" i="3" s="1"/>
  <c r="D95" i="3"/>
  <c r="D87" i="3"/>
  <c r="D79" i="3"/>
  <c r="D90" i="3"/>
  <c r="D82" i="3"/>
  <c r="D96" i="3"/>
  <c r="D88" i="3"/>
  <c r="D80" i="3"/>
  <c r="D91" i="3"/>
  <c r="D86" i="3"/>
  <c r="D81" i="3"/>
  <c r="D83" i="3"/>
  <c r="D78" i="3"/>
  <c r="D76" i="3"/>
  <c r="D93" i="3"/>
  <c r="D85" i="3"/>
  <c r="D74" i="3"/>
  <c r="E74" i="3"/>
  <c r="J142" i="3"/>
  <c r="D221" i="3"/>
  <c r="D224" i="3"/>
  <c r="D216" i="3"/>
  <c r="D219" i="3"/>
  <c r="D225" i="3"/>
  <c r="D217" i="3"/>
  <c r="D215" i="3"/>
  <c r="D218" i="3"/>
  <c r="D214" i="3"/>
  <c r="D220" i="3"/>
  <c r="D223" i="3"/>
  <c r="C214" i="3"/>
  <c r="D159" i="3"/>
  <c r="D175" i="3"/>
  <c r="D157" i="3"/>
  <c r="D173" i="3"/>
  <c r="D176" i="3"/>
  <c r="D168" i="3"/>
  <c r="D160" i="3"/>
  <c r="D152" i="3"/>
  <c r="C205" i="3" s="1"/>
  <c r="D179" i="3"/>
  <c r="D171" i="3"/>
  <c r="D163" i="3"/>
  <c r="D155" i="3"/>
  <c r="D174" i="3"/>
  <c r="D166" i="3"/>
  <c r="D158" i="3"/>
  <c r="D172" i="3"/>
  <c r="D164" i="3"/>
  <c r="D156" i="3"/>
  <c r="D148" i="3"/>
  <c r="D154" i="3"/>
  <c r="D170" i="3"/>
  <c r="B28" i="4"/>
  <c r="D19" i="4"/>
  <c r="J282" i="3"/>
  <c r="F11" i="4"/>
  <c r="F17" i="4" s="1"/>
  <c r="D284" i="3"/>
  <c r="E284" i="3" s="1"/>
  <c r="D292" i="3"/>
  <c r="D300" i="3"/>
  <c r="D11" i="4"/>
  <c r="D17" i="4" s="1"/>
  <c r="C14" i="7"/>
  <c r="D289" i="3"/>
  <c r="D297" i="3"/>
  <c r="D305" i="3"/>
  <c r="E11" i="4"/>
  <c r="E17" i="4" s="1"/>
  <c r="C14" i="4"/>
  <c r="D14" i="7"/>
  <c r="E14" i="7"/>
  <c r="D291" i="3"/>
  <c r="D299" i="3"/>
  <c r="D307" i="3"/>
  <c r="G11" i="4"/>
  <c r="G17" i="4" s="1"/>
  <c r="F14" i="7"/>
  <c r="D288" i="3"/>
  <c r="D296" i="3"/>
  <c r="D304" i="3"/>
  <c r="D301" i="3"/>
  <c r="E5" i="6"/>
  <c r="E3" i="6" s="1"/>
  <c r="E37" i="4" s="1"/>
  <c r="E3" i="5" s="1"/>
  <c r="B32" i="4" l="1"/>
  <c r="B22" i="4"/>
  <c r="B30" i="4"/>
  <c r="C275" i="3"/>
  <c r="B20" i="4"/>
  <c r="B24" i="4"/>
  <c r="C206" i="3"/>
  <c r="E214" i="3"/>
  <c r="C46" i="4"/>
  <c r="C29" i="4"/>
  <c r="C30" i="4"/>
  <c r="C22" i="4"/>
  <c r="C32" i="4"/>
  <c r="C28" i="4"/>
  <c r="C24" i="4"/>
  <c r="C20" i="4"/>
  <c r="F214" i="3"/>
  <c r="B215" i="3" s="1"/>
  <c r="E14" i="4"/>
  <c r="F75" i="3"/>
  <c r="B76" i="3" s="1"/>
  <c r="C75" i="3"/>
  <c r="B22" i="2"/>
  <c r="B20" i="2"/>
  <c r="C65" i="3"/>
  <c r="C346" i="3"/>
  <c r="C345" i="3"/>
  <c r="F284" i="3"/>
  <c r="B285" i="3" s="1"/>
  <c r="C207" i="3"/>
  <c r="G14" i="4"/>
  <c r="F14" i="4"/>
  <c r="C136" i="3"/>
  <c r="D14" i="4"/>
  <c r="C135" i="3"/>
  <c r="C145" i="3"/>
  <c r="F145" i="3"/>
  <c r="B146" i="3" s="1"/>
  <c r="F4" i="3"/>
  <c r="B5" i="3" s="1"/>
  <c r="B33" i="4" l="1"/>
  <c r="B35" i="4" s="1"/>
  <c r="E30" i="4"/>
  <c r="E22" i="4"/>
  <c r="E32" i="4"/>
  <c r="E28" i="4"/>
  <c r="E24" i="4"/>
  <c r="E20" i="4"/>
  <c r="E46" i="4"/>
  <c r="E6" i="5" s="1"/>
  <c r="E29" i="4"/>
  <c r="E145" i="3"/>
  <c r="E75" i="3"/>
  <c r="F32" i="4"/>
  <c r="F28" i="4"/>
  <c r="F24" i="4"/>
  <c r="F20" i="4"/>
  <c r="F46" i="4"/>
  <c r="F6" i="5" s="1"/>
  <c r="F29" i="4"/>
  <c r="F30" i="4"/>
  <c r="F22" i="4"/>
  <c r="C33" i="4"/>
  <c r="C35" i="4" s="1"/>
  <c r="C6" i="5"/>
  <c r="B8" i="7"/>
  <c r="D32" i="4"/>
  <c r="D28" i="4"/>
  <c r="D24" i="4"/>
  <c r="D20" i="4"/>
  <c r="D46" i="4"/>
  <c r="D6" i="5" s="1"/>
  <c r="D29" i="4"/>
  <c r="D30" i="4"/>
  <c r="D22" i="4"/>
  <c r="C76" i="3"/>
  <c r="E76" i="3" s="1"/>
  <c r="F76" i="3"/>
  <c r="B77" i="3" s="1"/>
  <c r="C45" i="4"/>
  <c r="C5" i="5" s="1"/>
  <c r="C285" i="3"/>
  <c r="F285" i="3"/>
  <c r="B286" i="3" s="1"/>
  <c r="F5" i="3"/>
  <c r="B6" i="3" s="1"/>
  <c r="C5" i="3"/>
  <c r="F146" i="3"/>
  <c r="B147" i="3" s="1"/>
  <c r="C146" i="3"/>
  <c r="E146" i="3" s="1"/>
  <c r="G32" i="4"/>
  <c r="G28" i="4"/>
  <c r="G24" i="4"/>
  <c r="G20" i="4"/>
  <c r="G46" i="4"/>
  <c r="G6" i="5" s="1"/>
  <c r="G29" i="4"/>
  <c r="G30" i="4"/>
  <c r="G22" i="4"/>
  <c r="F215" i="3"/>
  <c r="B216" i="3" s="1"/>
  <c r="C215" i="3"/>
  <c r="B36" i="4" l="1"/>
  <c r="B39" i="4"/>
  <c r="B40" i="4" s="1"/>
  <c r="B41" i="4" s="1"/>
  <c r="B2" i="5" s="1"/>
  <c r="B4" i="5" s="1"/>
  <c r="B7" i="5" s="1"/>
  <c r="E5" i="3"/>
  <c r="B8" i="8"/>
  <c r="C36" i="4"/>
  <c r="E33" i="4"/>
  <c r="E35" i="4" s="1"/>
  <c r="F8" i="7"/>
  <c r="E215" i="3"/>
  <c r="D33" i="4"/>
  <c r="D35" i="4" s="1"/>
  <c r="E8" i="7"/>
  <c r="G33" i="4"/>
  <c r="G35" i="4" s="1"/>
  <c r="C216" i="3"/>
  <c r="E216" i="3" s="1"/>
  <c r="F216" i="3"/>
  <c r="B217" i="3" s="1"/>
  <c r="F77" i="3"/>
  <c r="B78" i="3" s="1"/>
  <c r="C77" i="3"/>
  <c r="D8" i="7"/>
  <c r="F147" i="3"/>
  <c r="B148" i="3" s="1"/>
  <c r="C147" i="3"/>
  <c r="E147" i="3" s="1"/>
  <c r="C6" i="3"/>
  <c r="E6" i="3" s="1"/>
  <c r="F6" i="3"/>
  <c r="B7" i="3" s="1"/>
  <c r="F286" i="3"/>
  <c r="B287" i="3" s="1"/>
  <c r="C286" i="3"/>
  <c r="E286" i="3" s="1"/>
  <c r="E285" i="3"/>
  <c r="C8" i="7"/>
  <c r="F33" i="4"/>
  <c r="F35" i="4" s="1"/>
  <c r="C8" i="8" l="1"/>
  <c r="D36" i="4"/>
  <c r="F36" i="4"/>
  <c r="E8" i="8"/>
  <c r="F78" i="3"/>
  <c r="B79" i="3" s="1"/>
  <c r="C78" i="3"/>
  <c r="E78" i="3" s="1"/>
  <c r="C7" i="3"/>
  <c r="F7" i="3"/>
  <c r="B8" i="3" s="1"/>
  <c r="G36" i="4"/>
  <c r="F8" i="8"/>
  <c r="C148" i="3"/>
  <c r="E148" i="3" s="1"/>
  <c r="F148" i="3"/>
  <c r="B149" i="3" s="1"/>
  <c r="E77" i="3"/>
  <c r="F287" i="3"/>
  <c r="B288" i="3" s="1"/>
  <c r="C287" i="3"/>
  <c r="F217" i="3"/>
  <c r="B218" i="3" s="1"/>
  <c r="C217" i="3"/>
  <c r="E36" i="4"/>
  <c r="D8" i="8"/>
  <c r="C288" i="3" l="1"/>
  <c r="E288" i="3" s="1"/>
  <c r="F288" i="3"/>
  <c r="B289" i="3" s="1"/>
  <c r="F149" i="3"/>
  <c r="B150" i="3" s="1"/>
  <c r="C149" i="3"/>
  <c r="E149" i="3" s="1"/>
  <c r="E287" i="3"/>
  <c r="C79" i="3"/>
  <c r="E79" i="3" s="1"/>
  <c r="F79" i="3"/>
  <c r="B80" i="3" s="1"/>
  <c r="C8" i="3"/>
  <c r="E8" i="3" s="1"/>
  <c r="F8" i="3"/>
  <c r="B9" i="3" s="1"/>
  <c r="E217" i="3"/>
  <c r="E7" i="3"/>
  <c r="C218" i="3"/>
  <c r="E218" i="3" s="1"/>
  <c r="F218" i="3"/>
  <c r="B219" i="3" s="1"/>
  <c r="F80" i="3" l="1"/>
  <c r="B81" i="3" s="1"/>
  <c r="C80" i="3"/>
  <c r="E80" i="3" s="1"/>
  <c r="C9" i="3"/>
  <c r="F9" i="3"/>
  <c r="B10" i="3" s="1"/>
  <c r="F289" i="3"/>
  <c r="B290" i="3" s="1"/>
  <c r="C289" i="3"/>
  <c r="F150" i="3"/>
  <c r="B151" i="3" s="1"/>
  <c r="C150" i="3"/>
  <c r="E150" i="3" s="1"/>
  <c r="F219" i="3"/>
  <c r="B220" i="3" s="1"/>
  <c r="C219" i="3"/>
  <c r="E219" i="3" s="1"/>
  <c r="F151" i="3" l="1"/>
  <c r="B152" i="3" s="1"/>
  <c r="C151" i="3"/>
  <c r="E151" i="3" s="1"/>
  <c r="F290" i="3"/>
  <c r="B291" i="3" s="1"/>
  <c r="C290" i="3"/>
  <c r="E290" i="3" s="1"/>
  <c r="E9" i="3"/>
  <c r="F220" i="3"/>
  <c r="B221" i="3" s="1"/>
  <c r="C220" i="3"/>
  <c r="E220" i="3" s="1"/>
  <c r="E289" i="3"/>
  <c r="F10" i="3"/>
  <c r="B11" i="3" s="1"/>
  <c r="C10" i="3"/>
  <c r="E10" i="3" s="1"/>
  <c r="C81" i="3"/>
  <c r="F81" i="3"/>
  <c r="B82" i="3" s="1"/>
  <c r="C221" i="3" l="1"/>
  <c r="E221" i="3" s="1"/>
  <c r="F221" i="3"/>
  <c r="B222" i="3" s="1"/>
  <c r="F82" i="3"/>
  <c r="B83" i="3" s="1"/>
  <c r="C82" i="3"/>
  <c r="E82" i="3" s="1"/>
  <c r="E81" i="3"/>
  <c r="F11" i="3"/>
  <c r="B12" i="3" s="1"/>
  <c r="C11" i="3"/>
  <c r="E11" i="3" s="1"/>
  <c r="F291" i="3"/>
  <c r="B292" i="3" s="1"/>
  <c r="C291" i="3"/>
  <c r="E291" i="3" s="1"/>
  <c r="C152" i="3"/>
  <c r="E152" i="3" s="1"/>
  <c r="F152" i="3"/>
  <c r="B153" i="3" s="1"/>
  <c r="F153" i="3" l="1"/>
  <c r="B154" i="3" s="1"/>
  <c r="C153" i="3"/>
  <c r="E153" i="3" s="1"/>
  <c r="C12" i="3"/>
  <c r="E12" i="3" s="1"/>
  <c r="F12" i="3"/>
  <c r="B13" i="3" s="1"/>
  <c r="F83" i="3"/>
  <c r="B84" i="3" s="1"/>
  <c r="C83" i="3"/>
  <c r="E83" i="3" s="1"/>
  <c r="F222" i="3"/>
  <c r="B223" i="3" s="1"/>
  <c r="C222" i="3"/>
  <c r="E222" i="3" s="1"/>
  <c r="F292" i="3"/>
  <c r="B293" i="3" s="1"/>
  <c r="C292" i="3"/>
  <c r="E292" i="3" s="1"/>
  <c r="C84" i="3" l="1"/>
  <c r="E84" i="3" s="1"/>
  <c r="F84" i="3"/>
  <c r="B85" i="3" s="1"/>
  <c r="F223" i="3"/>
  <c r="B224" i="3" s="1"/>
  <c r="C223" i="3"/>
  <c r="E223" i="3" s="1"/>
  <c r="F13" i="3"/>
  <c r="B14" i="3" s="1"/>
  <c r="C13" i="3"/>
  <c r="E13" i="3" s="1"/>
  <c r="C293" i="3"/>
  <c r="E293" i="3" s="1"/>
  <c r="F293" i="3"/>
  <c r="B294" i="3" s="1"/>
  <c r="F154" i="3"/>
  <c r="B155" i="3" s="1"/>
  <c r="C154" i="3"/>
  <c r="E154" i="3" s="1"/>
  <c r="F294" i="3" l="1"/>
  <c r="B295" i="3" s="1"/>
  <c r="C294" i="3"/>
  <c r="E294" i="3" s="1"/>
  <c r="F14" i="3"/>
  <c r="B15" i="3" s="1"/>
  <c r="C14" i="3"/>
  <c r="E14" i="3" s="1"/>
  <c r="C224" i="3"/>
  <c r="E224" i="3" s="1"/>
  <c r="F224" i="3"/>
  <c r="B225" i="3" s="1"/>
  <c r="F85" i="3"/>
  <c r="C85" i="3"/>
  <c r="C155" i="3"/>
  <c r="F155" i="3"/>
  <c r="E85" i="3" l="1"/>
  <c r="B135" i="3"/>
  <c r="D135" i="3" s="1"/>
  <c r="E135" i="3"/>
  <c r="B86" i="3"/>
  <c r="F225" i="3"/>
  <c r="C225" i="3"/>
  <c r="C15" i="3"/>
  <c r="F15" i="3"/>
  <c r="E205" i="3"/>
  <c r="B156" i="3"/>
  <c r="E155" i="3"/>
  <c r="B205" i="3"/>
  <c r="D205" i="3" s="1"/>
  <c r="F295" i="3"/>
  <c r="C295" i="3"/>
  <c r="E15" i="3" l="1"/>
  <c r="B65" i="3"/>
  <c r="F156" i="3"/>
  <c r="B157" i="3" s="1"/>
  <c r="C156" i="3"/>
  <c r="E295" i="3"/>
  <c r="B345" i="3"/>
  <c r="D345" i="3" s="1"/>
  <c r="E225" i="3"/>
  <c r="B275" i="3"/>
  <c r="D275" i="3" s="1"/>
  <c r="E275" i="3"/>
  <c r="B226" i="3"/>
  <c r="F86" i="3"/>
  <c r="B87" i="3" s="1"/>
  <c r="C86" i="3"/>
  <c r="E65" i="3"/>
  <c r="B16" i="3"/>
  <c r="E345" i="3"/>
  <c r="B296" i="3"/>
  <c r="C226" i="3" l="1"/>
  <c r="D226" i="3"/>
  <c r="C296" i="3"/>
  <c r="F296" i="3"/>
  <c r="B297" i="3" s="1"/>
  <c r="B12" i="7"/>
  <c r="E86" i="3"/>
  <c r="E156" i="3"/>
  <c r="C38" i="4"/>
  <c r="D65" i="3"/>
  <c r="C16" i="3"/>
  <c r="D16" i="3"/>
  <c r="C87" i="3"/>
  <c r="E87" i="3" s="1"/>
  <c r="F87" i="3"/>
  <c r="B88" i="3" s="1"/>
  <c r="C157" i="3"/>
  <c r="E157" i="3" s="1"/>
  <c r="F157" i="3"/>
  <c r="B158" i="3" s="1"/>
  <c r="E16" i="3" l="1"/>
  <c r="B6" i="8"/>
  <c r="F16" i="3"/>
  <c r="B17" i="3" s="1"/>
  <c r="F297" i="3"/>
  <c r="B298" i="3" s="1"/>
  <c r="C297" i="3"/>
  <c r="E297" i="3" s="1"/>
  <c r="C43" i="4"/>
  <c r="B2" i="8" s="1"/>
  <c r="C44" i="4"/>
  <c r="B3" i="8" s="1"/>
  <c r="E296" i="3"/>
  <c r="F88" i="3"/>
  <c r="B89" i="3" s="1"/>
  <c r="C88" i="3"/>
  <c r="E88" i="3" s="1"/>
  <c r="F158" i="3"/>
  <c r="B159" i="3" s="1"/>
  <c r="C158" i="3"/>
  <c r="B5" i="8"/>
  <c r="C39" i="4"/>
  <c r="F226" i="3"/>
  <c r="B227" i="3" s="1"/>
  <c r="E226" i="3"/>
  <c r="C298" i="3" l="1"/>
  <c r="F298" i="3"/>
  <c r="B299" i="3" s="1"/>
  <c r="C89" i="3"/>
  <c r="E89" i="3" s="1"/>
  <c r="F89" i="3"/>
  <c r="B90" i="3" s="1"/>
  <c r="F159" i="3"/>
  <c r="B160" i="3" s="1"/>
  <c r="C159" i="3"/>
  <c r="E159" i="3" s="1"/>
  <c r="C17" i="3"/>
  <c r="F17" i="3"/>
  <c r="B18" i="3" s="1"/>
  <c r="D17" i="3"/>
  <c r="C227" i="3"/>
  <c r="D227" i="3"/>
  <c r="C40" i="4"/>
  <c r="B4" i="8" s="1"/>
  <c r="E158" i="3"/>
  <c r="C41" i="4" l="1"/>
  <c r="C18" i="3"/>
  <c r="D18" i="3"/>
  <c r="F90" i="3"/>
  <c r="B91" i="3" s="1"/>
  <c r="C90" i="3"/>
  <c r="E227" i="3"/>
  <c r="F227" i="3"/>
  <c r="B228" i="3" s="1"/>
  <c r="F299" i="3"/>
  <c r="B300" i="3" s="1"/>
  <c r="C299" i="3"/>
  <c r="E299" i="3" s="1"/>
  <c r="E17" i="3"/>
  <c r="C160" i="3"/>
  <c r="F160" i="3"/>
  <c r="B161" i="3" s="1"/>
  <c r="E298" i="3"/>
  <c r="F161" i="3" l="1"/>
  <c r="B162" i="3" s="1"/>
  <c r="C161" i="3"/>
  <c r="E161" i="3" s="1"/>
  <c r="E90" i="3"/>
  <c r="E18" i="3"/>
  <c r="E160" i="3"/>
  <c r="C91" i="3"/>
  <c r="E91" i="3" s="1"/>
  <c r="F91" i="3"/>
  <c r="B92" i="3" s="1"/>
  <c r="F300" i="3"/>
  <c r="B301" i="3" s="1"/>
  <c r="C300" i="3"/>
  <c r="E300" i="3" s="1"/>
  <c r="C228" i="3"/>
  <c r="D228" i="3"/>
  <c r="F228" i="3" s="1"/>
  <c r="B229" i="3" s="1"/>
  <c r="F18" i="3"/>
  <c r="B19" i="3" s="1"/>
  <c r="C2" i="5"/>
  <c r="C4" i="5" s="1"/>
  <c r="C7" i="5" s="1"/>
  <c r="C8" i="5" s="1"/>
  <c r="B15" i="7"/>
  <c r="B16" i="7" s="1"/>
  <c r="B9" i="8"/>
  <c r="C19" i="3" l="1"/>
  <c r="D19" i="3"/>
  <c r="F19" i="3" s="1"/>
  <c r="B20" i="3" s="1"/>
  <c r="C229" i="3"/>
  <c r="D229" i="3"/>
  <c r="F229" i="3" s="1"/>
  <c r="B230" i="3" s="1"/>
  <c r="B17" i="7"/>
  <c r="B7" i="8"/>
  <c r="E228" i="3"/>
  <c r="C301" i="3"/>
  <c r="E301" i="3" s="1"/>
  <c r="F301" i="3"/>
  <c r="B302" i="3" s="1"/>
  <c r="B6" i="7"/>
  <c r="B10" i="7" s="1"/>
  <c r="C92" i="3"/>
  <c r="E92" i="3" s="1"/>
  <c r="F92" i="3"/>
  <c r="B93" i="3" s="1"/>
  <c r="F162" i="3"/>
  <c r="B163" i="3" s="1"/>
  <c r="C162" i="3"/>
  <c r="B18" i="7" l="1"/>
  <c r="C230" i="3"/>
  <c r="D230" i="3"/>
  <c r="F230" i="3" s="1"/>
  <c r="B231" i="3" s="1"/>
  <c r="C20" i="3"/>
  <c r="D20" i="3"/>
  <c r="F20" i="3" s="1"/>
  <c r="B21" i="3" s="1"/>
  <c r="C163" i="3"/>
  <c r="E163" i="3" s="1"/>
  <c r="F163" i="3"/>
  <c r="B164" i="3" s="1"/>
  <c r="F302" i="3"/>
  <c r="B303" i="3" s="1"/>
  <c r="C302" i="3"/>
  <c r="E162" i="3"/>
  <c r="E229" i="3"/>
  <c r="F93" i="3"/>
  <c r="B94" i="3" s="1"/>
  <c r="C93" i="3"/>
  <c r="E93" i="3" s="1"/>
  <c r="E19" i="3"/>
  <c r="C21" i="3" l="1"/>
  <c r="D21" i="3"/>
  <c r="F21" i="3" s="1"/>
  <c r="B22" i="3" s="1"/>
  <c r="C231" i="3"/>
  <c r="D231" i="3"/>
  <c r="F231" i="3" s="1"/>
  <c r="B232" i="3" s="1"/>
  <c r="F164" i="3"/>
  <c r="B165" i="3" s="1"/>
  <c r="C164" i="3"/>
  <c r="E164" i="3" s="1"/>
  <c r="F94" i="3"/>
  <c r="B95" i="3" s="1"/>
  <c r="C94" i="3"/>
  <c r="E94" i="3" s="1"/>
  <c r="E20" i="3"/>
  <c r="E302" i="3"/>
  <c r="E230" i="3"/>
  <c r="F303" i="3"/>
  <c r="B304" i="3" s="1"/>
  <c r="C303" i="3"/>
  <c r="E303" i="3" s="1"/>
  <c r="E21" i="3" l="1"/>
  <c r="C232" i="3"/>
  <c r="D232" i="3"/>
  <c r="F232" i="3" s="1"/>
  <c r="B233" i="3" s="1"/>
  <c r="C22" i="3"/>
  <c r="D22" i="3"/>
  <c r="F22" i="3" s="1"/>
  <c r="B23" i="3" s="1"/>
  <c r="C165" i="3"/>
  <c r="E165" i="3" s="1"/>
  <c r="F165" i="3"/>
  <c r="B166" i="3" s="1"/>
  <c r="E231" i="3"/>
  <c r="C304" i="3"/>
  <c r="E304" i="3" s="1"/>
  <c r="F304" i="3"/>
  <c r="B305" i="3" s="1"/>
  <c r="C95" i="3"/>
  <c r="E95" i="3" s="1"/>
  <c r="F95" i="3"/>
  <c r="B96" i="3" s="1"/>
  <c r="C23" i="3" l="1"/>
  <c r="D23" i="3"/>
  <c r="F23" i="3" s="1"/>
  <c r="B24" i="3" s="1"/>
  <c r="C233" i="3"/>
  <c r="D233" i="3"/>
  <c r="F233" i="3" s="1"/>
  <c r="B234" i="3" s="1"/>
  <c r="E22" i="3"/>
  <c r="F166" i="3"/>
  <c r="B167" i="3" s="1"/>
  <c r="C166" i="3"/>
  <c r="E166" i="3" s="1"/>
  <c r="F96" i="3"/>
  <c r="B97" i="3" s="1"/>
  <c r="C96" i="3"/>
  <c r="E96" i="3" s="1"/>
  <c r="F305" i="3"/>
  <c r="B306" i="3" s="1"/>
  <c r="C305" i="3"/>
  <c r="E305" i="3" s="1"/>
  <c r="E232" i="3"/>
  <c r="E23" i="3" l="1"/>
  <c r="C234" i="3"/>
  <c r="D234" i="3"/>
  <c r="F234" i="3" s="1"/>
  <c r="B235" i="3" s="1"/>
  <c r="C24" i="3"/>
  <c r="D24" i="3"/>
  <c r="F24" i="3" s="1"/>
  <c r="B25" i="3" s="1"/>
  <c r="C167" i="3"/>
  <c r="F167" i="3"/>
  <c r="C306" i="3"/>
  <c r="E306" i="3" s="1"/>
  <c r="F306" i="3"/>
  <c r="B307" i="3" s="1"/>
  <c r="E233" i="3"/>
  <c r="F97" i="3"/>
  <c r="C97" i="3"/>
  <c r="C25" i="3" l="1"/>
  <c r="D25" i="3"/>
  <c r="F25" i="3" s="1"/>
  <c r="B26" i="3" s="1"/>
  <c r="C235" i="3"/>
  <c r="D235" i="3"/>
  <c r="F235" i="3" s="1"/>
  <c r="B236" i="3" s="1"/>
  <c r="E167" i="3"/>
  <c r="B206" i="3"/>
  <c r="D206" i="3" s="1"/>
  <c r="E24" i="3"/>
  <c r="E136" i="3"/>
  <c r="B98" i="3"/>
  <c r="F307" i="3"/>
  <c r="C307" i="3"/>
  <c r="B168" i="3"/>
  <c r="E206" i="3"/>
  <c r="E97" i="3"/>
  <c r="B136" i="3"/>
  <c r="D136" i="3" s="1"/>
  <c r="E234" i="3"/>
  <c r="C236" i="3" l="1"/>
  <c r="D236" i="3"/>
  <c r="F236" i="3" s="1"/>
  <c r="B237" i="3" s="1"/>
  <c r="C26" i="3"/>
  <c r="D26" i="3"/>
  <c r="F26" i="3" s="1"/>
  <c r="B27" i="3" s="1"/>
  <c r="C168" i="3"/>
  <c r="F168" i="3"/>
  <c r="B169" i="3" s="1"/>
  <c r="E346" i="3"/>
  <c r="B308" i="3"/>
  <c r="E307" i="3"/>
  <c r="B346" i="3"/>
  <c r="D346" i="3" s="1"/>
  <c r="E235" i="3"/>
  <c r="C98" i="3"/>
  <c r="D98" i="3"/>
  <c r="F98" i="3" s="1"/>
  <c r="B99" i="3" s="1"/>
  <c r="E25" i="3"/>
  <c r="C99" i="3" l="1"/>
  <c r="D99" i="3"/>
  <c r="F99" i="3"/>
  <c r="B100" i="3" s="1"/>
  <c r="C27" i="3"/>
  <c r="D27" i="3"/>
  <c r="C66" i="3" s="1"/>
  <c r="D45" i="4" s="1"/>
  <c r="D5" i="5" s="1"/>
  <c r="F169" i="3"/>
  <c r="B170" i="3" s="1"/>
  <c r="C169" i="3"/>
  <c r="E169" i="3" s="1"/>
  <c r="C237" i="3"/>
  <c r="D237" i="3"/>
  <c r="C276" i="3" s="1"/>
  <c r="E98" i="3"/>
  <c r="E168" i="3"/>
  <c r="E26" i="3"/>
  <c r="C308" i="3"/>
  <c r="D308" i="3"/>
  <c r="E236" i="3"/>
  <c r="E99" i="3" l="1"/>
  <c r="F27" i="3"/>
  <c r="F308" i="3"/>
  <c r="B309" i="3" s="1"/>
  <c r="C100" i="3"/>
  <c r="D100" i="3"/>
  <c r="E27" i="3"/>
  <c r="B66" i="3"/>
  <c r="E308" i="3"/>
  <c r="F237" i="3"/>
  <c r="F170" i="3"/>
  <c r="B171" i="3" s="1"/>
  <c r="C170" i="3"/>
  <c r="E170" i="3" s="1"/>
  <c r="E237" i="3"/>
  <c r="B276" i="3"/>
  <c r="D276" i="3" s="1"/>
  <c r="D38" i="4" l="1"/>
  <c r="D66" i="3"/>
  <c r="B28" i="3"/>
  <c r="E66" i="3"/>
  <c r="C171" i="3"/>
  <c r="E171" i="3" s="1"/>
  <c r="F171" i="3"/>
  <c r="B172" i="3" s="1"/>
  <c r="F100" i="3"/>
  <c r="B101" i="3" s="1"/>
  <c r="E276" i="3"/>
  <c r="B238" i="3"/>
  <c r="E100" i="3"/>
  <c r="C309" i="3"/>
  <c r="D309" i="3"/>
  <c r="C12" i="7" l="1"/>
  <c r="F172" i="3"/>
  <c r="B173" i="3" s="1"/>
  <c r="C172" i="3"/>
  <c r="E172" i="3" s="1"/>
  <c r="C6" i="8"/>
  <c r="C238" i="3"/>
  <c r="D238" i="3"/>
  <c r="F238" i="3" s="1"/>
  <c r="B239" i="3" s="1"/>
  <c r="C28" i="3"/>
  <c r="D28" i="3"/>
  <c r="F309" i="3"/>
  <c r="B310" i="3" s="1"/>
  <c r="E309" i="3"/>
  <c r="D44" i="4"/>
  <c r="C3" i="8" s="1"/>
  <c r="D43" i="4"/>
  <c r="C2" i="8" s="1"/>
  <c r="C101" i="3"/>
  <c r="D101" i="3"/>
  <c r="F101" i="3" s="1"/>
  <c r="B102" i="3" s="1"/>
  <c r="D39" i="4"/>
  <c r="C5" i="8"/>
  <c r="C102" i="3" l="1"/>
  <c r="D102" i="3"/>
  <c r="F102" i="3" s="1"/>
  <c r="B103" i="3" s="1"/>
  <c r="C239" i="3"/>
  <c r="D239" i="3"/>
  <c r="F239" i="3" s="1"/>
  <c r="B240" i="3" s="1"/>
  <c r="D40" i="4"/>
  <c r="C4" i="8" s="1"/>
  <c r="C310" i="3"/>
  <c r="D310" i="3"/>
  <c r="E101" i="3"/>
  <c r="F28" i="3"/>
  <c r="B29" i="3" s="1"/>
  <c r="E28" i="3"/>
  <c r="E238" i="3"/>
  <c r="C173" i="3"/>
  <c r="F173" i="3"/>
  <c r="B174" i="3" s="1"/>
  <c r="E239" i="3" l="1"/>
  <c r="C240" i="3"/>
  <c r="D240" i="3"/>
  <c r="F240" i="3" s="1"/>
  <c r="B241" i="3" s="1"/>
  <c r="C103" i="3"/>
  <c r="D103" i="3"/>
  <c r="F103" i="3" s="1"/>
  <c r="B104" i="3" s="1"/>
  <c r="C29" i="3"/>
  <c r="D29" i="3"/>
  <c r="F174" i="3"/>
  <c r="B175" i="3" s="1"/>
  <c r="C174" i="3"/>
  <c r="E174" i="3" s="1"/>
  <c r="E173" i="3"/>
  <c r="E310" i="3"/>
  <c r="F310" i="3"/>
  <c r="B311" i="3" s="1"/>
  <c r="E102" i="3"/>
  <c r="D41" i="4"/>
  <c r="E240" i="3" l="1"/>
  <c r="C104" i="3"/>
  <c r="D104" i="3"/>
  <c r="F104" i="3" s="1"/>
  <c r="B105" i="3" s="1"/>
  <c r="C241" i="3"/>
  <c r="D241" i="3"/>
  <c r="F241" i="3" s="1"/>
  <c r="B242" i="3" s="1"/>
  <c r="E29" i="3"/>
  <c r="F29" i="3"/>
  <c r="B30" i="3" s="1"/>
  <c r="E103" i="3"/>
  <c r="D2" i="5"/>
  <c r="D4" i="5" s="1"/>
  <c r="D7" i="5" s="1"/>
  <c r="D8" i="5" s="1"/>
  <c r="C9" i="8"/>
  <c r="C15" i="7"/>
  <c r="C16" i="7" s="1"/>
  <c r="C311" i="3"/>
  <c r="D311" i="3"/>
  <c r="F311" i="3" s="1"/>
  <c r="B312" i="3" s="1"/>
  <c r="F175" i="3"/>
  <c r="B176" i="3" s="1"/>
  <c r="C175" i="3"/>
  <c r="E175" i="3" s="1"/>
  <c r="C312" i="3" l="1"/>
  <c r="D312" i="3"/>
  <c r="F312" i="3" s="1"/>
  <c r="B313" i="3" s="1"/>
  <c r="C242" i="3"/>
  <c r="D242" i="3"/>
  <c r="F242" i="3" s="1"/>
  <c r="B243" i="3" s="1"/>
  <c r="C105" i="3"/>
  <c r="D105" i="3"/>
  <c r="F105" i="3" s="1"/>
  <c r="B106" i="3" s="1"/>
  <c r="C6" i="7"/>
  <c r="C10" i="7" s="1"/>
  <c r="E311" i="3"/>
  <c r="E241" i="3"/>
  <c r="C30" i="3"/>
  <c r="D30" i="3"/>
  <c r="F30" i="3" s="1"/>
  <c r="B31" i="3" s="1"/>
  <c r="C17" i="7"/>
  <c r="C7" i="8"/>
  <c r="E104" i="3"/>
  <c r="C176" i="3"/>
  <c r="E176" i="3" s="1"/>
  <c r="F176" i="3"/>
  <c r="B177" i="3" s="1"/>
  <c r="C243" i="3" l="1"/>
  <c r="D243" i="3"/>
  <c r="F243" i="3" s="1"/>
  <c r="B244" i="3" s="1"/>
  <c r="C313" i="3"/>
  <c r="D313" i="3"/>
  <c r="F313" i="3" s="1"/>
  <c r="B314" i="3" s="1"/>
  <c r="C106" i="3"/>
  <c r="D106" i="3"/>
  <c r="F106" i="3" s="1"/>
  <c r="B107" i="3" s="1"/>
  <c r="E105" i="3"/>
  <c r="C31" i="3"/>
  <c r="D31" i="3"/>
  <c r="F31" i="3" s="1"/>
  <c r="B32" i="3" s="1"/>
  <c r="E30" i="3"/>
  <c r="F177" i="3"/>
  <c r="B178" i="3" s="1"/>
  <c r="C177" i="3"/>
  <c r="E177" i="3" s="1"/>
  <c r="E242" i="3"/>
  <c r="C18" i="7"/>
  <c r="E312" i="3"/>
  <c r="C107" i="3" l="1"/>
  <c r="D107" i="3"/>
  <c r="F107" i="3" s="1"/>
  <c r="B108" i="3" s="1"/>
  <c r="C314" i="3"/>
  <c r="D314" i="3"/>
  <c r="F314" i="3" s="1"/>
  <c r="B315" i="3" s="1"/>
  <c r="C32" i="3"/>
  <c r="D32" i="3"/>
  <c r="F32" i="3" s="1"/>
  <c r="B33" i="3" s="1"/>
  <c r="F178" i="3"/>
  <c r="B179" i="3" s="1"/>
  <c r="C178" i="3"/>
  <c r="E178" i="3" s="1"/>
  <c r="C244" i="3"/>
  <c r="D244" i="3"/>
  <c r="F244" i="3" s="1"/>
  <c r="B245" i="3" s="1"/>
  <c r="E106" i="3"/>
  <c r="E313" i="3"/>
  <c r="E31" i="3"/>
  <c r="E243" i="3"/>
  <c r="C315" i="3" l="1"/>
  <c r="D315" i="3"/>
  <c r="F315" i="3" s="1"/>
  <c r="B316" i="3" s="1"/>
  <c r="C245" i="3"/>
  <c r="D245" i="3"/>
  <c r="F245" i="3" s="1"/>
  <c r="B246" i="3" s="1"/>
  <c r="C108" i="3"/>
  <c r="D108" i="3"/>
  <c r="F108" i="3" s="1"/>
  <c r="B109" i="3" s="1"/>
  <c r="C33" i="3"/>
  <c r="D33" i="3"/>
  <c r="F33" i="3" s="1"/>
  <c r="B34" i="3" s="1"/>
  <c r="E244" i="3"/>
  <c r="E107" i="3"/>
  <c r="E32" i="3"/>
  <c r="E314" i="3"/>
  <c r="C179" i="3"/>
  <c r="F179" i="3"/>
  <c r="C34" i="3" l="1"/>
  <c r="D34" i="3"/>
  <c r="F34" i="3" s="1"/>
  <c r="B35" i="3" s="1"/>
  <c r="C109" i="3"/>
  <c r="D109" i="3"/>
  <c r="C137" i="3" s="1"/>
  <c r="C246" i="3"/>
  <c r="D246" i="3"/>
  <c r="F246" i="3" s="1"/>
  <c r="B247" i="3" s="1"/>
  <c r="C316" i="3"/>
  <c r="D316" i="3"/>
  <c r="F316" i="3" s="1"/>
  <c r="B317" i="3" s="1"/>
  <c r="E108" i="3"/>
  <c r="B180" i="3"/>
  <c r="E207" i="3"/>
  <c r="E245" i="3"/>
  <c r="E179" i="3"/>
  <c r="B207" i="3"/>
  <c r="D207" i="3" s="1"/>
  <c r="E33" i="3"/>
  <c r="E315" i="3"/>
  <c r="C247" i="3" l="1"/>
  <c r="D247" i="3"/>
  <c r="F247" i="3" s="1"/>
  <c r="B248" i="3" s="1"/>
  <c r="C317" i="3"/>
  <c r="D317" i="3"/>
  <c r="F317" i="3" s="1"/>
  <c r="B318" i="3" s="1"/>
  <c r="E246" i="3"/>
  <c r="C35" i="3"/>
  <c r="D35" i="3"/>
  <c r="F35" i="3" s="1"/>
  <c r="B36" i="3" s="1"/>
  <c r="C180" i="3"/>
  <c r="D180" i="3"/>
  <c r="F180" i="3" s="1"/>
  <c r="B181" i="3" s="1"/>
  <c r="E109" i="3"/>
  <c r="B137" i="3"/>
  <c r="D137" i="3" s="1"/>
  <c r="F109" i="3"/>
  <c r="E316" i="3"/>
  <c r="E34" i="3"/>
  <c r="C318" i="3" l="1"/>
  <c r="D318" i="3"/>
  <c r="F318" i="3" s="1"/>
  <c r="B319" i="3" s="1"/>
  <c r="C181" i="3"/>
  <c r="D181" i="3"/>
  <c r="F181" i="3" s="1"/>
  <c r="B182" i="3" s="1"/>
  <c r="C248" i="3"/>
  <c r="D248" i="3"/>
  <c r="F248" i="3" s="1"/>
  <c r="B249" i="3" s="1"/>
  <c r="E137" i="3"/>
  <c r="B110" i="3"/>
  <c r="E247" i="3"/>
  <c r="C36" i="3"/>
  <c r="D36" i="3"/>
  <c r="F36" i="3" s="1"/>
  <c r="B37" i="3" s="1"/>
  <c r="E180" i="3"/>
  <c r="E317" i="3"/>
  <c r="E35" i="3"/>
  <c r="E248" i="3" l="1"/>
  <c r="C37" i="3"/>
  <c r="D37" i="3"/>
  <c r="F37" i="3" s="1"/>
  <c r="B38" i="3" s="1"/>
  <c r="C182" i="3"/>
  <c r="D182" i="3"/>
  <c r="C319" i="3"/>
  <c r="D319" i="3"/>
  <c r="C347" i="3" s="1"/>
  <c r="E36" i="3"/>
  <c r="C249" i="3"/>
  <c r="D249" i="3"/>
  <c r="C277" i="3" s="1"/>
  <c r="E181" i="3"/>
  <c r="C110" i="3"/>
  <c r="D110" i="3"/>
  <c r="F110" i="3" s="1"/>
  <c r="B111" i="3" s="1"/>
  <c r="E318" i="3"/>
  <c r="F319" i="3" l="1"/>
  <c r="C38" i="3"/>
  <c r="D38" i="3"/>
  <c r="F38" i="3" s="1"/>
  <c r="B39" i="3" s="1"/>
  <c r="C111" i="3"/>
  <c r="D111" i="3"/>
  <c r="E182" i="3"/>
  <c r="E110" i="3"/>
  <c r="E347" i="3"/>
  <c r="B320" i="3"/>
  <c r="E249" i="3"/>
  <c r="B277" i="3"/>
  <c r="D277" i="3" s="1"/>
  <c r="F182" i="3"/>
  <c r="B183" i="3" s="1"/>
  <c r="F249" i="3"/>
  <c r="E37" i="3"/>
  <c r="E319" i="3"/>
  <c r="B347" i="3"/>
  <c r="D347" i="3" s="1"/>
  <c r="C39" i="3" l="1"/>
  <c r="D39" i="3"/>
  <c r="C67" i="3" s="1"/>
  <c r="E45" i="4" s="1"/>
  <c r="E5" i="5" s="1"/>
  <c r="C183" i="3"/>
  <c r="D183" i="3"/>
  <c r="C320" i="3"/>
  <c r="D320" i="3"/>
  <c r="F111" i="3"/>
  <c r="B112" i="3" s="1"/>
  <c r="E111" i="3"/>
  <c r="E38" i="3"/>
  <c r="E277" i="3"/>
  <c r="B250" i="3"/>
  <c r="C250" i="3" l="1"/>
  <c r="D250" i="3"/>
  <c r="C112" i="3"/>
  <c r="D112" i="3"/>
  <c r="F39" i="3"/>
  <c r="E39" i="3"/>
  <c r="B67" i="3"/>
  <c r="E320" i="3"/>
  <c r="F183" i="3"/>
  <c r="B184" i="3" s="1"/>
  <c r="E183" i="3"/>
  <c r="F320" i="3"/>
  <c r="B321" i="3" s="1"/>
  <c r="E38" i="4" l="1"/>
  <c r="D67" i="3"/>
  <c r="E67" i="3"/>
  <c r="D12" i="7" s="1"/>
  <c r="B40" i="3"/>
  <c r="C184" i="3"/>
  <c r="D184" i="3"/>
  <c r="F184" i="3" s="1"/>
  <c r="B185" i="3" s="1"/>
  <c r="F321" i="3"/>
  <c r="B322" i="3" s="1"/>
  <c r="C321" i="3"/>
  <c r="D321" i="3"/>
  <c r="E250" i="3"/>
  <c r="E112" i="3"/>
  <c r="F112" i="3"/>
  <c r="B113" i="3" s="1"/>
  <c r="F250" i="3"/>
  <c r="B251" i="3" s="1"/>
  <c r="C185" i="3" l="1"/>
  <c r="D185" i="3"/>
  <c r="F185" i="3" s="1"/>
  <c r="B186" i="3" s="1"/>
  <c r="C322" i="3"/>
  <c r="D322" i="3"/>
  <c r="F322" i="3" s="1"/>
  <c r="B323" i="3" s="1"/>
  <c r="D6" i="8"/>
  <c r="E184" i="3"/>
  <c r="C40" i="3"/>
  <c r="D40" i="3"/>
  <c r="C251" i="3"/>
  <c r="D251" i="3"/>
  <c r="F251" i="3" s="1"/>
  <c r="B252" i="3" s="1"/>
  <c r="E321" i="3"/>
  <c r="E44" i="4"/>
  <c r="D3" i="8" s="1"/>
  <c r="E43" i="4"/>
  <c r="D2" i="8" s="1"/>
  <c r="C113" i="3"/>
  <c r="D113" i="3"/>
  <c r="F113" i="3" s="1"/>
  <c r="B114" i="3" s="1"/>
  <c r="E39" i="4"/>
  <c r="D5" i="8"/>
  <c r="C114" i="3" l="1"/>
  <c r="D114" i="3"/>
  <c r="F114" i="3" s="1"/>
  <c r="B115" i="3" s="1"/>
  <c r="C323" i="3"/>
  <c r="D323" i="3"/>
  <c r="F323" i="3" s="1"/>
  <c r="B324" i="3" s="1"/>
  <c r="C186" i="3"/>
  <c r="D186" i="3"/>
  <c r="F186" i="3" s="1"/>
  <c r="B187" i="3" s="1"/>
  <c r="E113" i="3"/>
  <c r="C252" i="3"/>
  <c r="D252" i="3"/>
  <c r="F252" i="3" s="1"/>
  <c r="B253" i="3" s="1"/>
  <c r="E251" i="3"/>
  <c r="E322" i="3"/>
  <c r="E40" i="3"/>
  <c r="F40" i="3"/>
  <c r="B41" i="3" s="1"/>
  <c r="E40" i="4"/>
  <c r="D4" i="8" s="1"/>
  <c r="E185" i="3"/>
  <c r="C115" i="3" l="1"/>
  <c r="D115" i="3"/>
  <c r="F115" i="3" s="1"/>
  <c r="B116" i="3" s="1"/>
  <c r="C187" i="3"/>
  <c r="D187" i="3"/>
  <c r="F187" i="3" s="1"/>
  <c r="B188" i="3" s="1"/>
  <c r="C324" i="3"/>
  <c r="D324" i="3"/>
  <c r="F324" i="3" s="1"/>
  <c r="B325" i="3" s="1"/>
  <c r="C253" i="3"/>
  <c r="D253" i="3"/>
  <c r="F253" i="3" s="1"/>
  <c r="B254" i="3" s="1"/>
  <c r="E186" i="3"/>
  <c r="C41" i="3"/>
  <c r="D41" i="3"/>
  <c r="E41" i="4"/>
  <c r="E323" i="3"/>
  <c r="E252" i="3"/>
  <c r="E114" i="3"/>
  <c r="C325" i="3" l="1"/>
  <c r="D325" i="3"/>
  <c r="F325" i="3" s="1"/>
  <c r="B326" i="3" s="1"/>
  <c r="C188" i="3"/>
  <c r="D188" i="3"/>
  <c r="F188" i="3" s="1"/>
  <c r="B189" i="3" s="1"/>
  <c r="C254" i="3"/>
  <c r="D254" i="3"/>
  <c r="F254" i="3" s="1"/>
  <c r="B255" i="3" s="1"/>
  <c r="E2" i="5"/>
  <c r="E4" i="5" s="1"/>
  <c r="E7" i="5" s="1"/>
  <c r="E8" i="5" s="1"/>
  <c r="D9" i="8"/>
  <c r="D15" i="7"/>
  <c r="D16" i="7" s="1"/>
  <c r="C116" i="3"/>
  <c r="D116" i="3"/>
  <c r="F116" i="3" s="1"/>
  <c r="B117" i="3" s="1"/>
  <c r="E324" i="3"/>
  <c r="E41" i="3"/>
  <c r="F41" i="3"/>
  <c r="B42" i="3" s="1"/>
  <c r="E187" i="3"/>
  <c r="E253" i="3"/>
  <c r="E115" i="3"/>
  <c r="E254" i="3" l="1"/>
  <c r="E116" i="3"/>
  <c r="C189" i="3"/>
  <c r="D189" i="3"/>
  <c r="F189" i="3" s="1"/>
  <c r="B190" i="3" s="1"/>
  <c r="C326" i="3"/>
  <c r="D326" i="3"/>
  <c r="F326" i="3" s="1"/>
  <c r="B327" i="3" s="1"/>
  <c r="F255" i="3"/>
  <c r="B256" i="3" s="1"/>
  <c r="C255" i="3"/>
  <c r="E255" i="3" s="1"/>
  <c r="D255" i="3"/>
  <c r="E188" i="3"/>
  <c r="C117" i="3"/>
  <c r="D117" i="3"/>
  <c r="F117" i="3" s="1"/>
  <c r="B118" i="3" s="1"/>
  <c r="C42" i="3"/>
  <c r="D42" i="3"/>
  <c r="F42" i="3" s="1"/>
  <c r="B43" i="3" s="1"/>
  <c r="D6" i="7"/>
  <c r="D10" i="7" s="1"/>
  <c r="E325" i="3"/>
  <c r="D17" i="7"/>
  <c r="D7" i="8"/>
  <c r="C327" i="3" l="1"/>
  <c r="D327" i="3"/>
  <c r="F327" i="3" s="1"/>
  <c r="B328" i="3" s="1"/>
  <c r="C43" i="3"/>
  <c r="D43" i="3"/>
  <c r="F43" i="3" s="1"/>
  <c r="B44" i="3" s="1"/>
  <c r="C118" i="3"/>
  <c r="D118" i="3"/>
  <c r="F118" i="3" s="1"/>
  <c r="B119" i="3" s="1"/>
  <c r="C190" i="3"/>
  <c r="D190" i="3"/>
  <c r="F190" i="3" s="1"/>
  <c r="B191" i="3" s="1"/>
  <c r="E326" i="3"/>
  <c r="E42" i="3"/>
  <c r="E117" i="3"/>
  <c r="C256" i="3"/>
  <c r="D256" i="3"/>
  <c r="F256" i="3" s="1"/>
  <c r="B257" i="3" s="1"/>
  <c r="D18" i="7"/>
  <c r="E189" i="3"/>
  <c r="E118" i="3" l="1"/>
  <c r="C191" i="3"/>
  <c r="D191" i="3"/>
  <c r="C208" i="3" s="1"/>
  <c r="C257" i="3"/>
  <c r="D257" i="3"/>
  <c r="F257" i="3" s="1"/>
  <c r="B258" i="3" s="1"/>
  <c r="C44" i="3"/>
  <c r="D44" i="3"/>
  <c r="F44" i="3" s="1"/>
  <c r="B45" i="3" s="1"/>
  <c r="C328" i="3"/>
  <c r="D328" i="3"/>
  <c r="F328" i="3" s="1"/>
  <c r="B329" i="3" s="1"/>
  <c r="C119" i="3"/>
  <c r="D119" i="3"/>
  <c r="F119" i="3" s="1"/>
  <c r="B120" i="3" s="1"/>
  <c r="E43" i="3"/>
  <c r="E256" i="3"/>
  <c r="E190" i="3"/>
  <c r="E327" i="3"/>
  <c r="E257" i="3" l="1"/>
  <c r="F191" i="3"/>
  <c r="C120" i="3"/>
  <c r="D120" i="3"/>
  <c r="F120" i="3" s="1"/>
  <c r="B121" i="3" s="1"/>
  <c r="C45" i="3"/>
  <c r="D45" i="3"/>
  <c r="F45" i="3" s="1"/>
  <c r="B46" i="3" s="1"/>
  <c r="C258" i="3"/>
  <c r="E258" i="3" s="1"/>
  <c r="F258" i="3"/>
  <c r="B259" i="3" s="1"/>
  <c r="D258" i="3"/>
  <c r="C329" i="3"/>
  <c r="D329" i="3"/>
  <c r="F329" i="3" s="1"/>
  <c r="B330" i="3" s="1"/>
  <c r="E44" i="3"/>
  <c r="B192" i="3"/>
  <c r="E208" i="3"/>
  <c r="E119" i="3"/>
  <c r="E328" i="3"/>
  <c r="E191" i="3"/>
  <c r="B208" i="3"/>
  <c r="D208" i="3" s="1"/>
  <c r="C46" i="3" l="1"/>
  <c r="D46" i="3"/>
  <c r="F46" i="3" s="1"/>
  <c r="B47" i="3" s="1"/>
  <c r="C121" i="3"/>
  <c r="D121" i="3"/>
  <c r="C138" i="3" s="1"/>
  <c r="C330" i="3"/>
  <c r="D330" i="3"/>
  <c r="F330" i="3" s="1"/>
  <c r="B331" i="3" s="1"/>
  <c r="C192" i="3"/>
  <c r="D192" i="3"/>
  <c r="F192" i="3" s="1"/>
  <c r="B193" i="3" s="1"/>
  <c r="C259" i="3"/>
  <c r="D259" i="3"/>
  <c r="F259" i="3" s="1"/>
  <c r="B260" i="3" s="1"/>
  <c r="E120" i="3"/>
  <c r="E45" i="3"/>
  <c r="E329" i="3"/>
  <c r="E330" i="3" l="1"/>
  <c r="C260" i="3"/>
  <c r="D260" i="3"/>
  <c r="F260" i="3" s="1"/>
  <c r="B261" i="3" s="1"/>
  <c r="C47" i="3"/>
  <c r="D47" i="3"/>
  <c r="F47" i="3" s="1"/>
  <c r="B48" i="3" s="1"/>
  <c r="C193" i="3"/>
  <c r="D193" i="3"/>
  <c r="F193" i="3" s="1"/>
  <c r="B194" i="3" s="1"/>
  <c r="C331" i="3"/>
  <c r="D331" i="3"/>
  <c r="C348" i="3" s="1"/>
  <c r="E259" i="3"/>
  <c r="E121" i="3"/>
  <c r="B138" i="3"/>
  <c r="D138" i="3" s="1"/>
  <c r="F121" i="3"/>
  <c r="E192" i="3"/>
  <c r="E46" i="3"/>
  <c r="E193" i="3" l="1"/>
  <c r="C48" i="3"/>
  <c r="D48" i="3"/>
  <c r="F48" i="3" s="1"/>
  <c r="B49" i="3" s="1"/>
  <c r="C261" i="3"/>
  <c r="D261" i="3"/>
  <c r="C278" i="3" s="1"/>
  <c r="C194" i="3"/>
  <c r="D194" i="3"/>
  <c r="F194" i="3" s="1"/>
  <c r="B195" i="3" s="1"/>
  <c r="E331" i="3"/>
  <c r="B348" i="3"/>
  <c r="D348" i="3" s="1"/>
  <c r="E47" i="3"/>
  <c r="F331" i="3"/>
  <c r="E138" i="3"/>
  <c r="B122" i="3"/>
  <c r="E260" i="3"/>
  <c r="E194" i="3" l="1"/>
  <c r="C49" i="3"/>
  <c r="D49" i="3"/>
  <c r="F49" i="3" s="1"/>
  <c r="B50" i="3" s="1"/>
  <c r="C122" i="3"/>
  <c r="D122" i="3"/>
  <c r="E348" i="3"/>
  <c r="B332" i="3"/>
  <c r="C195" i="3"/>
  <c r="D195" i="3"/>
  <c r="E261" i="3"/>
  <c r="B278" i="3"/>
  <c r="D278" i="3" s="1"/>
  <c r="F261" i="3"/>
  <c r="E48" i="3"/>
  <c r="C50" i="3" l="1"/>
  <c r="D50" i="3"/>
  <c r="F50" i="3" s="1"/>
  <c r="B51" i="3" s="1"/>
  <c r="C332" i="3"/>
  <c r="D332" i="3"/>
  <c r="E278" i="3"/>
  <c r="B262" i="3"/>
  <c r="F122" i="3"/>
  <c r="B123" i="3" s="1"/>
  <c r="E122" i="3"/>
  <c r="F195" i="3"/>
  <c r="B196" i="3" s="1"/>
  <c r="E195" i="3"/>
  <c r="E49" i="3"/>
  <c r="C51" i="3" l="1"/>
  <c r="D51" i="3"/>
  <c r="C68" i="3" s="1"/>
  <c r="F45" i="4" s="1"/>
  <c r="F5" i="5" s="1"/>
  <c r="C196" i="3"/>
  <c r="D196" i="3"/>
  <c r="F196" i="3" s="1"/>
  <c r="B197" i="3" s="1"/>
  <c r="F332" i="3"/>
  <c r="B333" i="3" s="1"/>
  <c r="E332" i="3"/>
  <c r="C123" i="3"/>
  <c r="D123" i="3"/>
  <c r="E50" i="3"/>
  <c r="C262" i="3"/>
  <c r="D262" i="3"/>
  <c r="F262" i="3" s="1"/>
  <c r="B263" i="3" s="1"/>
  <c r="C197" i="3" l="1"/>
  <c r="D197" i="3"/>
  <c r="F197" i="3" s="1"/>
  <c r="B198" i="3" s="1"/>
  <c r="C263" i="3"/>
  <c r="D263" i="3"/>
  <c r="F263" i="3" s="1"/>
  <c r="B264" i="3" s="1"/>
  <c r="E262" i="3"/>
  <c r="F123" i="3"/>
  <c r="B124" i="3" s="1"/>
  <c r="E51" i="3"/>
  <c r="B68" i="3"/>
  <c r="C333" i="3"/>
  <c r="D333" i="3"/>
  <c r="E196" i="3"/>
  <c r="E123" i="3"/>
  <c r="F51" i="3"/>
  <c r="C264" i="3" l="1"/>
  <c r="D264" i="3"/>
  <c r="F264" i="3" s="1"/>
  <c r="B265" i="3" s="1"/>
  <c r="C198" i="3"/>
  <c r="D198" i="3"/>
  <c r="F198" i="3" s="1"/>
  <c r="B199" i="3" s="1"/>
  <c r="E333" i="3"/>
  <c r="B52" i="3"/>
  <c r="E68" i="3"/>
  <c r="E12" i="7" s="1"/>
  <c r="F333" i="3"/>
  <c r="B334" i="3" s="1"/>
  <c r="E263" i="3"/>
  <c r="F38" i="4"/>
  <c r="D68" i="3"/>
  <c r="C124" i="3"/>
  <c r="D124" i="3"/>
  <c r="E197" i="3"/>
  <c r="C199" i="3" l="1"/>
  <c r="D199" i="3"/>
  <c r="F199" i="3" s="1"/>
  <c r="B200" i="3" s="1"/>
  <c r="C265" i="3"/>
  <c r="D265" i="3"/>
  <c r="E198" i="3"/>
  <c r="C334" i="3"/>
  <c r="D334" i="3"/>
  <c r="E5" i="8"/>
  <c r="F39" i="4"/>
  <c r="F43" i="4"/>
  <c r="E2" i="8" s="1"/>
  <c r="F44" i="4"/>
  <c r="E3" i="8" s="1"/>
  <c r="E6" i="8"/>
  <c r="F124" i="3"/>
  <c r="B125" i="3" s="1"/>
  <c r="C52" i="3"/>
  <c r="D52" i="3"/>
  <c r="E124" i="3"/>
  <c r="E264" i="3"/>
  <c r="C200" i="3" l="1"/>
  <c r="D200" i="3"/>
  <c r="F200" i="3" s="1"/>
  <c r="B201" i="3" s="1"/>
  <c r="F52" i="3"/>
  <c r="B53" i="3" s="1"/>
  <c r="E52" i="3"/>
  <c r="C125" i="3"/>
  <c r="D125" i="3"/>
  <c r="F125" i="3" s="1"/>
  <c r="B126" i="3" s="1"/>
  <c r="E265" i="3"/>
  <c r="E334" i="3"/>
  <c r="F40" i="4"/>
  <c r="E4" i="8" s="1"/>
  <c r="F265" i="3"/>
  <c r="B266" i="3" s="1"/>
  <c r="F334" i="3"/>
  <c r="B335" i="3" s="1"/>
  <c r="E199" i="3"/>
  <c r="C126" i="3" l="1"/>
  <c r="D126" i="3"/>
  <c r="F126" i="3" s="1"/>
  <c r="B127" i="3" s="1"/>
  <c r="C201" i="3"/>
  <c r="D201" i="3"/>
  <c r="F201" i="3" s="1"/>
  <c r="B202" i="3" s="1"/>
  <c r="C53" i="3"/>
  <c r="D53" i="3"/>
  <c r="F53" i="3" s="1"/>
  <c r="B54" i="3" s="1"/>
  <c r="C335" i="3"/>
  <c r="D335" i="3"/>
  <c r="F335" i="3" s="1"/>
  <c r="B336" i="3" s="1"/>
  <c r="E125" i="3"/>
  <c r="C266" i="3"/>
  <c r="D266" i="3"/>
  <c r="F266" i="3" s="1"/>
  <c r="B267" i="3" s="1"/>
  <c r="F41" i="4"/>
  <c r="E200" i="3"/>
  <c r="C202" i="3" l="1"/>
  <c r="D202" i="3"/>
  <c r="F202" i="3" s="1"/>
  <c r="B203" i="3" s="1"/>
  <c r="C127" i="3"/>
  <c r="D127" i="3"/>
  <c r="F127" i="3" s="1"/>
  <c r="B128" i="3" s="1"/>
  <c r="C336" i="3"/>
  <c r="D336" i="3"/>
  <c r="F336" i="3" s="1"/>
  <c r="B337" i="3" s="1"/>
  <c r="C54" i="3"/>
  <c r="D54" i="3"/>
  <c r="E266" i="3"/>
  <c r="C267" i="3"/>
  <c r="D267" i="3"/>
  <c r="F267" i="3" s="1"/>
  <c r="B268" i="3" s="1"/>
  <c r="E201" i="3"/>
  <c r="E53" i="3"/>
  <c r="E335" i="3"/>
  <c r="E9" i="8"/>
  <c r="F2" i="5"/>
  <c r="F4" i="5" s="1"/>
  <c r="F7" i="5" s="1"/>
  <c r="F8" i="5" s="1"/>
  <c r="E15" i="7"/>
  <c r="E16" i="7" s="1"/>
  <c r="E126" i="3"/>
  <c r="E336" i="3" l="1"/>
  <c r="E267" i="3"/>
  <c r="C128" i="3"/>
  <c r="D128" i="3"/>
  <c r="F128" i="3" s="1"/>
  <c r="B129" i="3" s="1"/>
  <c r="C203" i="3"/>
  <c r="D203" i="3"/>
  <c r="C209" i="3" s="1"/>
  <c r="F268" i="3"/>
  <c r="B269" i="3" s="1"/>
  <c r="C268" i="3"/>
  <c r="D268" i="3"/>
  <c r="C337" i="3"/>
  <c r="D337" i="3"/>
  <c r="F337" i="3" s="1"/>
  <c r="B338" i="3" s="1"/>
  <c r="F54" i="3"/>
  <c r="B55" i="3" s="1"/>
  <c r="E54" i="3"/>
  <c r="E202" i="3"/>
  <c r="E6" i="7"/>
  <c r="E10" i="7" s="1"/>
  <c r="E127" i="3"/>
  <c r="E7" i="8"/>
  <c r="E17" i="7"/>
  <c r="C129" i="3" l="1"/>
  <c r="D129" i="3"/>
  <c r="F129" i="3" s="1"/>
  <c r="B130" i="3" s="1"/>
  <c r="C338" i="3"/>
  <c r="D338" i="3"/>
  <c r="F338" i="3" s="1"/>
  <c r="B339" i="3" s="1"/>
  <c r="C269" i="3"/>
  <c r="D269" i="3"/>
  <c r="F269" i="3" s="1"/>
  <c r="B270" i="3" s="1"/>
  <c r="E18" i="7"/>
  <c r="F203" i="3"/>
  <c r="E209" i="3" s="1"/>
  <c r="C55" i="3"/>
  <c r="D55" i="3"/>
  <c r="F55" i="3" s="1"/>
  <c r="B56" i="3" s="1"/>
  <c r="E337" i="3"/>
  <c r="E203" i="3"/>
  <c r="B209" i="3"/>
  <c r="D209" i="3" s="1"/>
  <c r="E128" i="3"/>
  <c r="E268" i="3"/>
  <c r="E269" i="3" l="1"/>
  <c r="C339" i="3"/>
  <c r="D339" i="3"/>
  <c r="F339" i="3" s="1"/>
  <c r="B340" i="3" s="1"/>
  <c r="C56" i="3"/>
  <c r="D56" i="3"/>
  <c r="F56" i="3" s="1"/>
  <c r="B57" i="3" s="1"/>
  <c r="C130" i="3"/>
  <c r="D130" i="3"/>
  <c r="F130" i="3" s="1"/>
  <c r="B131" i="3" s="1"/>
  <c r="E55" i="3"/>
  <c r="C270" i="3"/>
  <c r="D270" i="3"/>
  <c r="F270" i="3" s="1"/>
  <c r="B271" i="3" s="1"/>
  <c r="E338" i="3"/>
  <c r="E129" i="3"/>
  <c r="E130" i="3" l="1"/>
  <c r="C57" i="3"/>
  <c r="D57" i="3"/>
  <c r="F57" i="3" s="1"/>
  <c r="B58" i="3" s="1"/>
  <c r="C271" i="3"/>
  <c r="D271" i="3"/>
  <c r="F271" i="3" s="1"/>
  <c r="B272" i="3" s="1"/>
  <c r="C340" i="3"/>
  <c r="D340" i="3"/>
  <c r="F340" i="3" s="1"/>
  <c r="B341" i="3" s="1"/>
  <c r="C131" i="3"/>
  <c r="D131" i="3"/>
  <c r="F131" i="3" s="1"/>
  <c r="B132" i="3" s="1"/>
  <c r="E270" i="3"/>
  <c r="E56" i="3"/>
  <c r="E339" i="3"/>
  <c r="E340" i="3" l="1"/>
  <c r="C272" i="3"/>
  <c r="D272" i="3"/>
  <c r="F272" i="3" s="1"/>
  <c r="B273" i="3" s="1"/>
  <c r="C58" i="3"/>
  <c r="D58" i="3"/>
  <c r="F58" i="3" s="1"/>
  <c r="B59" i="3" s="1"/>
  <c r="C132" i="3"/>
  <c r="D132" i="3"/>
  <c r="F132" i="3" s="1"/>
  <c r="B133" i="3" s="1"/>
  <c r="C341" i="3"/>
  <c r="D341" i="3"/>
  <c r="F341" i="3" s="1"/>
  <c r="B342" i="3" s="1"/>
  <c r="E271" i="3"/>
  <c r="E131" i="3"/>
  <c r="E57" i="3"/>
  <c r="E132" i="3" l="1"/>
  <c r="C273" i="3"/>
  <c r="D273" i="3"/>
  <c r="C279" i="3" s="1"/>
  <c r="C59" i="3"/>
  <c r="D59" i="3"/>
  <c r="F59" i="3" s="1"/>
  <c r="B60" i="3" s="1"/>
  <c r="C342" i="3"/>
  <c r="D342" i="3"/>
  <c r="F342" i="3" s="1"/>
  <c r="B343" i="3" s="1"/>
  <c r="C133" i="3"/>
  <c r="D133" i="3"/>
  <c r="C139" i="3" s="1"/>
  <c r="E58" i="3"/>
  <c r="E341" i="3"/>
  <c r="E272" i="3"/>
  <c r="E342" i="3" l="1"/>
  <c r="C60" i="3"/>
  <c r="D60" i="3"/>
  <c r="F60" i="3" s="1"/>
  <c r="B61" i="3" s="1"/>
  <c r="C343" i="3"/>
  <c r="D343" i="3"/>
  <c r="C349" i="3" s="1"/>
  <c r="E133" i="3"/>
  <c r="B139" i="3"/>
  <c r="D139" i="3" s="1"/>
  <c r="F133" i="3"/>
  <c r="E139" i="3" s="1"/>
  <c r="E273" i="3"/>
  <c r="B279" i="3"/>
  <c r="D279" i="3" s="1"/>
  <c r="E59" i="3"/>
  <c r="F273" i="3"/>
  <c r="E279" i="3" s="1"/>
  <c r="C61" i="3" l="1"/>
  <c r="D61" i="3"/>
  <c r="F61" i="3" s="1"/>
  <c r="B62" i="3" s="1"/>
  <c r="F343" i="3"/>
  <c r="E349" i="3" s="1"/>
  <c r="E343" i="3"/>
  <c r="B349" i="3"/>
  <c r="D349" i="3" s="1"/>
  <c r="E60" i="3"/>
  <c r="C62" i="3" l="1"/>
  <c r="D62" i="3"/>
  <c r="F62" i="3" s="1"/>
  <c r="B63" i="3" s="1"/>
  <c r="E61" i="3"/>
  <c r="C63" i="3" l="1"/>
  <c r="D63" i="3"/>
  <c r="C69" i="3" s="1"/>
  <c r="G45" i="4" s="1"/>
  <c r="G5" i="5" s="1"/>
  <c r="E62" i="3"/>
  <c r="F63" i="3" l="1"/>
  <c r="E69" i="3" s="1"/>
  <c r="F12" i="7" s="1"/>
  <c r="E63" i="3"/>
  <c r="B69" i="3"/>
  <c r="G38" i="4" l="1"/>
  <c r="D69" i="3"/>
  <c r="F6" i="8"/>
  <c r="G43" i="4" l="1"/>
  <c r="F2" i="8" s="1"/>
  <c r="G44" i="4"/>
  <c r="F3" i="8" s="1"/>
  <c r="F5" i="8"/>
  <c r="G39" i="4"/>
  <c r="G40" i="4" l="1"/>
  <c r="F4" i="8" s="1"/>
  <c r="G41" i="4"/>
  <c r="F9" i="8" l="1"/>
  <c r="G2" i="5"/>
  <c r="G4" i="5" s="1"/>
  <c r="G7" i="5" s="1"/>
  <c r="G8" i="5" s="1"/>
  <c r="F6" i="7" s="1"/>
  <c r="F10" i="7" s="1"/>
  <c r="F15" i="7"/>
  <c r="F16" i="7" s="1"/>
  <c r="F17" i="7" l="1"/>
  <c r="F7" i="8"/>
  <c r="F18" i="7"/>
</calcChain>
</file>

<file path=xl/sharedStrings.xml><?xml version="1.0" encoding="utf-8"?>
<sst xmlns="http://schemas.openxmlformats.org/spreadsheetml/2006/main" count="519" uniqueCount="276">
  <si>
    <t>Paramètre</t>
  </si>
  <si>
    <t>Valeur</t>
  </si>
  <si>
    <t>Unité</t>
  </si>
  <si>
    <t>Source / statut</t>
  </si>
  <si>
    <t>GÉNÉRAL</t>
  </si>
  <si>
    <t>Indexation annuelle des tarifs</t>
  </si>
  <si>
    <t>%</t>
  </si>
  <si>
    <t>Pratique de l'industrie</t>
  </si>
  <si>
    <t>Ventes terrains 2026 (Pixum)</t>
  </si>
  <si>
    <t>$</t>
  </si>
  <si>
    <t>Rapport Pixum 2025-09-15 → 2026-09-15</t>
  </si>
  <si>
    <t>Ventes saisonniers 2026 (Pixum)</t>
  </si>
  <si>
    <t>Pixum</t>
  </si>
  <si>
    <t>Ventes chalets et chambres 2026 (Pixum)</t>
  </si>
  <si>
    <t>Ventes cabanas 2026 (Pixum)</t>
  </si>
  <si>
    <t>Restauration 2026</t>
  </si>
  <si>
    <t>Budget interne, à valider</t>
  </si>
  <si>
    <t>Activités et concessions 2026</t>
  </si>
  <si>
    <t>Part Havana des ventes Coolbox 2026 (après transport)</t>
  </si>
  <si>
    <t>AVIS-HAVANA-2026-001</t>
  </si>
  <si>
    <t>Part Havana des ventes Coolbox, base récurrente (50 % du CA 2026)</t>
  </si>
  <si>
    <t>CALCUL-HAVANA 2026</t>
  </si>
  <si>
    <t>PAR ANNÉE (colonnes B = 2026, C..G = An 1 à An 5)</t>
  </si>
  <si>
    <t>2026</t>
  </si>
  <si>
    <t>An 1</t>
  </si>
  <si>
    <t>An 2</t>
  </si>
  <si>
    <t>An 3</t>
  </si>
  <si>
    <t>An 4</t>
  </si>
  <si>
    <t>An 5</t>
  </si>
  <si>
    <t>Terrains : facteur d'occupation</t>
  </si>
  <si>
    <t>x</t>
  </si>
  <si>
    <t>Aucune capacité nouvelle</t>
  </si>
  <si>
    <t>Contrats saisonniers</t>
  </si>
  <si>
    <t>contrats</t>
  </si>
  <si>
    <t>12 réels en 2026 ; conversion de terrains existants</t>
  </si>
  <si>
    <t>Chalets : occupation été (184 nuits)</t>
  </si>
  <si>
    <t>Réel 2026 ≈ 55-60 %</t>
  </si>
  <si>
    <t>Chalets : occupation hiver (181 nuits)</t>
  </si>
  <si>
    <t>Hivernisation automne 2027</t>
  </si>
  <si>
    <t>Chalets : fraction de l'hiver exploitée</t>
  </si>
  <si>
    <t>An 1 : nov.-déc.</t>
  </si>
  <si>
    <t>Villas : occupation été</t>
  </si>
  <si>
    <t>Direction</t>
  </si>
  <si>
    <t>Villas : occupation hiver</t>
  </si>
  <si>
    <t>hyp.</t>
  </si>
  <si>
    <t>Villas : fraction de l'été exploitée</t>
  </si>
  <si>
    <t>Livraison juillet 2027</t>
  </si>
  <si>
    <t>Hôtel : chambres</t>
  </si>
  <si>
    <t>ch.</t>
  </si>
  <si>
    <t>6 jan.-juin 2027, 17 ensuite</t>
  </si>
  <si>
    <t>Hôtel : occupation annuelle</t>
  </si>
  <si>
    <t>Sous la moyenne régionale</t>
  </si>
  <si>
    <t>Cabanas : facteur</t>
  </si>
  <si>
    <t>Coolbox grappe A : occupation été</t>
  </si>
  <si>
    <t>9 unités existantes : 20 037 $/unité en 2026</t>
  </si>
  <si>
    <t>Coolbox grappe A : occupation hiver</t>
  </si>
  <si>
    <t>Données d'hiver du réseau (annexe J)</t>
  </si>
  <si>
    <t>Coolbox : fraction de l'été An 1</t>
  </si>
  <si>
    <t>Livraison mai 2027</t>
  </si>
  <si>
    <t>Restauration : % des revenus d'hébergement (sans alcool)</t>
  </si>
  <si>
    <t>Réel 2026 : 6,5 %</t>
  </si>
  <si>
    <t>Spectacles : billetterie brute</t>
  </si>
  <si>
    <t>Scène et chapiteau existants (hyp.)</t>
  </si>
  <si>
    <t>Activités et concessions</t>
  </si>
  <si>
    <t>Budget interne</t>
  </si>
  <si>
    <t>Salaires : % des revenus</t>
  </si>
  <si>
    <t>Tableau d'effectifs ; Grenier 2021 : 30 %</t>
  </si>
  <si>
    <t>Énergie</t>
  </si>
  <si>
    <t>Budget de la direction</t>
  </si>
  <si>
    <t>Assurances</t>
  </si>
  <si>
    <t>Taxes municipales et scolaires</t>
  </si>
  <si>
    <t>Rôle 2024-2026</t>
  </si>
  <si>
    <t>Marketing : % des revenus</t>
  </si>
  <si>
    <t>TARIFS ET UNITÉS</t>
  </si>
  <si>
    <t>Chalets (unités)</t>
  </si>
  <si>
    <t>u</t>
  </si>
  <si>
    <t>Inventaire</t>
  </si>
  <si>
    <t>Tarif chalet été</t>
  </si>
  <si>
    <t>Tarif 2026</t>
  </si>
  <si>
    <t>Tarif chalet hiver</t>
  </si>
  <si>
    <t>Villas (unités)</t>
  </si>
  <si>
    <t>Tarif villa été</t>
  </si>
  <si>
    <t>Tarif villa hiver</t>
  </si>
  <si>
    <t>Tarif chambre d'hôtel</t>
  </si>
  <si>
    <t>Unités Coolbox grappe A</t>
  </si>
  <si>
    <t>Emplacements 2022</t>
  </si>
  <si>
    <t>Tarif Coolbox été</t>
  </si>
  <si>
    <t>Affiché 2023</t>
  </si>
  <si>
    <t>Tarif Coolbox hiver</t>
  </si>
  <si>
    <t>Tarif contrat saisonnier</t>
  </si>
  <si>
    <t>Tarif spa (phase 2, hors base)</t>
  </si>
  <si>
    <t>CHARGES</t>
  </si>
  <si>
    <t>Coût des ventes restauration</t>
  </si>
  <si>
    <t>Norme 30-35 %</t>
  </si>
  <si>
    <t>Coût des ventes activités</t>
  </si>
  <si>
    <t>Cachets et technique (% billetterie)</t>
  </si>
  <si>
    <t>Commissions plateformes (15 % × 40 % des nuitées hôtel/villas/Coolbox)</t>
  </si>
  <si>
    <t>Entretien (% des revenus)</t>
  </si>
  <si>
    <t>Grenier 2021</t>
  </si>
  <si>
    <t>Immobilisations de maintien (% des revenus)</t>
  </si>
  <si>
    <t>Pratique bancaire</t>
  </si>
  <si>
    <t>Véhicules et essence (2026)</t>
  </si>
  <si>
    <t>Honoraires comptables (2026)</t>
  </si>
  <si>
    <t>Administration, TI (% revenus)</t>
  </si>
  <si>
    <t>Frais bancaires (% revenus)</t>
  </si>
  <si>
    <t>Fournitures (% revenus)</t>
  </si>
  <si>
    <t>Loyers et locations (2026)</t>
  </si>
  <si>
    <t>Divers (% revenus)</t>
  </si>
  <si>
    <t>Amortissement comptable des actifs existants</t>
  </si>
  <si>
    <t>Impôt PME (jusqu'à 500 k$)</t>
  </si>
  <si>
    <t>À confirmer</t>
  </si>
  <si>
    <t>Impôt général (au-delà)</t>
  </si>
  <si>
    <t>Dette existante 2026 : taux (intérêts seulement)</t>
  </si>
  <si>
    <t>hyp. ; relevés à joindre</t>
  </si>
  <si>
    <t>PART VARIABLE DES CHARGES (sensibilité)</t>
  </si>
  <si>
    <t>Part variable : cout_ventes</t>
  </si>
  <si>
    <t>Structure du modèle</t>
  </si>
  <si>
    <t>Part variable : cachets</t>
  </si>
  <si>
    <t>Part variable : commissions</t>
  </si>
  <si>
    <t>Part variable : salaires</t>
  </si>
  <si>
    <t>Part variable : energie</t>
  </si>
  <si>
    <t>Part variable : entretien</t>
  </si>
  <si>
    <t>Part variable : vehicules</t>
  </si>
  <si>
    <t>Part variable : marketing</t>
  </si>
  <si>
    <t>Part variable : assurances</t>
  </si>
  <si>
    <t>Part variable : taxes</t>
  </si>
  <si>
    <t>Part variable : honoraires</t>
  </si>
  <si>
    <t>Part variable : admin</t>
  </si>
  <si>
    <t>Part variable : bancaires</t>
  </si>
  <si>
    <t>Part variable : fournitures</t>
  </si>
  <si>
    <t>Part variable : loyers</t>
  </si>
  <si>
    <t>Part variable : divers</t>
  </si>
  <si>
    <t>SCÉNARIO : facteur sur les revenus (1 = base)</t>
  </si>
  <si>
    <t>Modifier pour tester</t>
  </si>
  <si>
    <t>Emploi</t>
  </si>
  <si>
    <t>Montant</t>
  </si>
  <si>
    <t>Statut</t>
  </si>
  <si>
    <t>Projets de développement, phase 1a (hôtel, restaurant, villas, chalets, grappe Coolbox, saisonniers)</t>
  </si>
  <si>
    <t>Contingence (5 % forfaits d'usine, 10 % travaux de chantier)</t>
  </si>
  <si>
    <t>Honoraires professionnels (plans, ingénierie, permis)</t>
  </si>
  <si>
    <t>Mise en conformité environnementale et réglementaire (hyp.)</t>
  </si>
  <si>
    <t>Intérêts capitalisés pendant la construction (hyp.)</t>
  </si>
  <si>
    <t>Réserve de service de la dette (6 mois, déposée à la clôture)</t>
  </si>
  <si>
    <t>Frais de financement et juridiques (montage multi-bailleurs)</t>
  </si>
  <si>
    <t>Fonds de roulement de démarrage</t>
  </si>
  <si>
    <t>Refinancement de la dette existante (selon relevés des créanciers, hyp.)</t>
  </si>
  <si>
    <t>Total des emplois</t>
  </si>
  <si>
    <t>Source</t>
  </si>
  <si>
    <t>Taux</t>
  </si>
  <si>
    <t>Amortissement (ans)</t>
  </si>
  <si>
    <t>Moratoire (mois)</t>
  </si>
  <si>
    <t>Prêt hypothécaire de premier rang (tranche A refinancement, tranche B construction)</t>
  </si>
  <si>
    <t>Demandé</t>
  </si>
  <si>
    <t>DEC – contribution remboursable sans intérêt (hyp.)</t>
  </si>
  <si>
    <t>À solliciter</t>
  </si>
  <si>
    <t>Quasi-équité patiente : Fonds régional de solidarité FTQ Estrie ou Fondaction (hyp.)</t>
  </si>
  <si>
    <t>MRC du Val-Saint-François – FLI / FLS (hyp.)</t>
  </si>
  <si>
    <t>Construction Prospère – retenue contractuelle subordonnée (10 % des travaux de chantier)</t>
  </si>
  <si>
    <t>Engagé (à signer)</t>
  </si>
  <si>
    <t>Fonds propres (= emplois − couches de dette)</t>
  </si>
  <si>
    <t>Total des sources</t>
  </si>
  <si>
    <t>Argent neuf (emplois hors refinancement)</t>
  </si>
  <si>
    <t>Fonds propres / argent neuf</t>
  </si>
  <si>
    <t>Amort. (ans)</t>
  </si>
  <si>
    <t>Paiement mensuel</t>
  </si>
  <si>
    <t>Mois</t>
  </si>
  <si>
    <t>Solde début</t>
  </si>
  <si>
    <t>Intérêts</t>
  </si>
  <si>
    <t>Capital</t>
  </si>
  <si>
    <t>Paiement</t>
  </si>
  <si>
    <t>Solde fin</t>
  </si>
  <si>
    <t>Année</t>
  </si>
  <si>
    <t>Service</t>
  </si>
  <si>
    <t>REVENUS</t>
  </si>
  <si>
    <t>Terrains de camping</t>
  </si>
  <si>
    <t>Terrains saisonniers</t>
  </si>
  <si>
    <t>Chalets 4 saisons (16)</t>
  </si>
  <si>
    <t>Villas (13)</t>
  </si>
  <si>
    <t>Hôtel (6 → 17 chambres)</t>
  </si>
  <si>
    <t>Cabanas (13)</t>
  </si>
  <si>
    <t>Unités Coolbox grappe A (9, propriété Havana)</t>
  </si>
  <si>
    <t>Partenariat Coolbox HPA, part Havana</t>
  </si>
  <si>
    <t>Restauration (sans alcool)</t>
  </si>
  <si>
    <t>Spectacles (billetterie brute)</t>
  </si>
  <si>
    <t>Total des revenus (× facteur de scénario)</t>
  </si>
  <si>
    <t>Coût des ventes</t>
  </si>
  <si>
    <t>Cachets et technique des spectacles</t>
  </si>
  <si>
    <t>Commissions de plateformes</t>
  </si>
  <si>
    <t>Salaires et charges sociales</t>
  </si>
  <si>
    <t>Électricité, chauffage et propane</t>
  </si>
  <si>
    <t>Entretien et réparations</t>
  </si>
  <si>
    <t>Véhicules et essence</t>
  </si>
  <si>
    <t>Marketing</t>
  </si>
  <si>
    <t>Honoraires comptables et audit</t>
  </si>
  <si>
    <t>Administration et TI</t>
  </si>
  <si>
    <t>Frais bancaires et de cartes</t>
  </si>
  <si>
    <t>Fournitures</t>
  </si>
  <si>
    <t>Loyers et locations</t>
  </si>
  <si>
    <t>Divers et imprévus</t>
  </si>
  <si>
    <t>Total des charges</t>
  </si>
  <si>
    <t>BAIIA</t>
  </si>
  <si>
    <t>Marge BAIIA</t>
  </si>
  <si>
    <t>Amortissement comptable (DPA!)</t>
  </si>
  <si>
    <t>Intérêts (toutes couches ; 2026 : dette existante)</t>
  </si>
  <si>
    <t>Bénéfice avant impôts</t>
  </si>
  <si>
    <t>Impôts</t>
  </si>
  <si>
    <t>Bénéfice net</t>
  </si>
  <si>
    <t>Service de la dette : prêt senior</t>
  </si>
  <si>
    <t>Service de la dette : toutes couches</t>
  </si>
  <si>
    <t>Remboursement de capital (toutes couches)</t>
  </si>
  <si>
    <t>Immobilisations de maintien</t>
  </si>
  <si>
    <t>Flux de trésorerie (méthode indirecte)</t>
  </si>
  <si>
    <t>Plus : amortissement</t>
  </si>
  <si>
    <t>Flux d'exploitation</t>
  </si>
  <si>
    <t>Moins : remboursement de capital</t>
  </si>
  <si>
    <t>Moins : immobilisations de maintien</t>
  </si>
  <si>
    <t>Flux disponible</t>
  </si>
  <si>
    <t>Trésorerie cumulée depuis la clôture</t>
  </si>
  <si>
    <t>Amortissement comptable et DPA</t>
  </si>
  <si>
    <t>Base capitalisée (phase 1a, contingence et honoraires au prorata)</t>
  </si>
  <si>
    <t>Amortissement comptable total (→ Résultats)</t>
  </si>
  <si>
    <t>Existant</t>
  </si>
  <si>
    <t>Nouveau (linéaire moyen 5 % ; phase 1a mise en service An 1, demi-année)</t>
  </si>
  <si>
    <t>DPA fiscale (solde dégressif, demi-année) — informatif</t>
  </si>
  <si>
    <t>Catégorie</t>
  </si>
  <si>
    <t>Base</t>
  </si>
  <si>
    <t>DPA An 1</t>
  </si>
  <si>
    <t>DPA An 2</t>
  </si>
  <si>
    <t>DPA An 3</t>
  </si>
  <si>
    <t>DPA An 4</t>
  </si>
  <si>
    <t>DPA An 5</t>
  </si>
  <si>
    <t>Cat. 1 — bâtiments : hôtel, restaurant, villas, chalets</t>
  </si>
  <si>
    <t>Cat. 8 — équipements : mobilier</t>
  </si>
  <si>
    <t>Cat. 6 / à confirmer — unités d'hébergement préfabriquées sur structure d'acier (Coolbox)</t>
  </si>
  <si>
    <t>Cat. 17 — aménagements de surface : conversion de terrains saisonniers</t>
  </si>
  <si>
    <t>Frais de financement (déductibles sur 5 ans)</t>
  </si>
  <si>
    <t>Bilan pro forma au 31 décembre</t>
  </si>
  <si>
    <t>Immobilisations existantes au coût déclaré (hyp.)</t>
  </si>
  <si>
    <t>Amortissement cumulé estimé au 31-12-2026 (hyp.)</t>
  </si>
  <si>
    <t>ACTIF</t>
  </si>
  <si>
    <t>Encaisse</t>
  </si>
  <si>
    <t>Immobilisations existantes, nettes</t>
  </si>
  <si>
    <t>Nouvelles immobilisations, nettes</t>
  </si>
  <si>
    <t>Frais reportés</t>
  </si>
  <si>
    <t>Total de l'actif</t>
  </si>
  <si>
    <t>PASSIF</t>
  </si>
  <si>
    <t>Dette totale (toutes couches)</t>
  </si>
  <si>
    <t>AVOIR</t>
  </si>
  <si>
    <t>Avoir à l'ouverture</t>
  </si>
  <si>
    <t>Bénéfices non répartis cumulés (nets de l'amortissement des frais reportés)</t>
  </si>
  <si>
    <t>Total de l'avoir</t>
  </si>
  <si>
    <t>Total passif + avoir</t>
  </si>
  <si>
    <t>Écart (doit être 0)</t>
  </si>
  <si>
    <t>Ratio</t>
  </si>
  <si>
    <t>Couverture du prêt senior (BAIIA / service senior)</t>
  </si>
  <si>
    <t>Couverture toutes couches (BAIIA / service total)</t>
  </si>
  <si>
    <t>Couverture bancaire ((BAIIA − impôts − maintien) / service total)</t>
  </si>
  <si>
    <t>Couverture des intérêts</t>
  </si>
  <si>
    <t>Dette totale / BAIIA</t>
  </si>
  <si>
    <t>Dette / avoir</t>
  </si>
  <si>
    <t>Marge nette</t>
  </si>
  <si>
    <t>Sensibilité : modifier « SCÉNARIO : facteur sur les revenus » dans Hypothèses (1 = base, 0,9 = −10 %, etc.) ; les charges variables suivent selon leur part variable. Tableau statique ci-dessous produit par le modèle Python pour référence.</t>
  </si>
  <si>
    <t>Scénario</t>
  </si>
  <si>
    <t>Toutes couches An 2</t>
  </si>
  <si>
    <t>Bancaire An 3</t>
  </si>
  <si>
    <t>Bancaire An 5</t>
  </si>
  <si>
    <t>Scénario de base</t>
  </si>
  <si>
    <t>Revenus −10 %</t>
  </si>
  <si>
    <t>Revenus −15 %</t>
  </si>
  <si>
    <t>Revenus −20 %</t>
  </si>
  <si>
    <t>Revenus d'hiver −50 %</t>
  </si>
  <si>
    <t>Restauration −50 % (permis d'alcool retardé, achalandage)</t>
  </si>
  <si>
    <t>Taux senior 8 % (25 ans)</t>
  </si>
  <si>
    <t>Taux senior 9 % (25 ans)</t>
  </si>
  <si>
    <t>Amortissement senior 20 ans (7 %)</t>
  </si>
  <si>
    <t>Part variable calculée (An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</si>
</sst>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%"/>
    <numFmt numFmtId="165" formatCode="#,##0\ \$;[Red]\(#,##0\ \$\)"/>
    <numFmt numFmtId="166" formatCode="0.00&quot; x&quot;"/>
    <numFmt numFmtId="167" formatCode="0.0&quot; x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C4A5E"/>
      </patternFill>
    </fill>
    <fill>
      <patternFill patternType="solid">
        <fgColor rgb="FF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164" fontId="0" fillId="3" borderId="0" xfId="0" applyNumberFormat="1" applyFill="1"/>
    <xf numFmtId="165" fontId="0" fillId="3" borderId="0" xfId="0" applyNumberFormat="1" applyFill="1"/>
    <xf numFmtId="2" fontId="0" fillId="3" borderId="0" xfId="0" applyNumberFormat="1" applyFill="1"/>
    <xf numFmtId="0" fontId="0" fillId="3" borderId="0" xfId="0" applyFill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8" customWidth="1"/>
    <col min="2" max="2" width="16" customWidth="1"/>
    <col min="3" max="3" width="12" customWidth="1"/>
    <col min="4" max="4" width="7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3">
      <c r="A2" s="2" t="s">
        <v>4</v>
      </c>
    </row>
    <row r="3" spans="1:9" x14ac:dyDescent="0.3">
      <c r="A3" t="s">
        <v>5</v>
      </c>
      <c r="B3" s="3">
        <v>0.03</v>
      </c>
      <c r="C3" t="s">
        <v>6</v>
      </c>
      <c r="D3" t="s">
        <v>7</v>
      </c>
    </row>
    <row r="4" spans="1:9" x14ac:dyDescent="0.3">
      <c r="A4" t="s">
        <v>8</v>
      </c>
      <c r="B4" s="4">
        <v>791894.29</v>
      </c>
      <c r="C4" t="s">
        <v>9</v>
      </c>
      <c r="D4" t="s">
        <v>10</v>
      </c>
    </row>
    <row r="5" spans="1:9" x14ac:dyDescent="0.3">
      <c r="A5" t="s">
        <v>11</v>
      </c>
      <c r="B5" s="4">
        <v>43208.71</v>
      </c>
      <c r="C5" t="s">
        <v>9</v>
      </c>
      <c r="D5" t="s">
        <v>12</v>
      </c>
    </row>
    <row r="6" spans="1:9" x14ac:dyDescent="0.3">
      <c r="A6" t="s">
        <v>13</v>
      </c>
      <c r="B6" s="4">
        <v>497722.97</v>
      </c>
      <c r="C6" t="s">
        <v>9</v>
      </c>
      <c r="D6" t="s">
        <v>12</v>
      </c>
    </row>
    <row r="7" spans="1:9" x14ac:dyDescent="0.3">
      <c r="A7" t="s">
        <v>14</v>
      </c>
      <c r="B7" s="4">
        <v>199015.63</v>
      </c>
      <c r="C7" t="s">
        <v>9</v>
      </c>
      <c r="D7" t="s">
        <v>12</v>
      </c>
    </row>
    <row r="8" spans="1:9" x14ac:dyDescent="0.3">
      <c r="A8" t="s">
        <v>15</v>
      </c>
      <c r="B8" s="4">
        <v>100000</v>
      </c>
      <c r="C8" t="s">
        <v>9</v>
      </c>
      <c r="D8" t="s">
        <v>16</v>
      </c>
    </row>
    <row r="9" spans="1:9" x14ac:dyDescent="0.3">
      <c r="A9" t="s">
        <v>17</v>
      </c>
      <c r="B9" s="4">
        <v>96700</v>
      </c>
      <c r="C9" t="s">
        <v>9</v>
      </c>
      <c r="D9" t="s">
        <v>16</v>
      </c>
    </row>
    <row r="10" spans="1:9" x14ac:dyDescent="0.3">
      <c r="A10" t="s">
        <v>18</v>
      </c>
      <c r="B10" s="4">
        <v>76667.149999999994</v>
      </c>
      <c r="C10" t="s">
        <v>9</v>
      </c>
      <c r="D10" t="s">
        <v>19</v>
      </c>
    </row>
    <row r="11" spans="1:9" x14ac:dyDescent="0.3">
      <c r="A11" t="s">
        <v>20</v>
      </c>
      <c r="B11" s="4">
        <v>90167.15</v>
      </c>
      <c r="C11" t="s">
        <v>9</v>
      </c>
      <c r="D11" t="s">
        <v>21</v>
      </c>
    </row>
    <row r="13" spans="1:9" x14ac:dyDescent="0.3">
      <c r="A13" s="2" t="s">
        <v>22</v>
      </c>
      <c r="B13" s="2" t="s">
        <v>23</v>
      </c>
      <c r="C13" s="2" t="s">
        <v>24</v>
      </c>
      <c r="D13" s="2" t="s">
        <v>25</v>
      </c>
      <c r="E13" s="2" t="s">
        <v>26</v>
      </c>
      <c r="F13" s="2" t="s">
        <v>27</v>
      </c>
      <c r="G13" s="2" t="s">
        <v>28</v>
      </c>
    </row>
    <row r="14" spans="1:9" x14ac:dyDescent="0.3">
      <c r="A14" t="s">
        <v>29</v>
      </c>
      <c r="B14" s="5">
        <v>1</v>
      </c>
      <c r="C14" s="5">
        <v>1</v>
      </c>
      <c r="D14" s="5">
        <v>1.02</v>
      </c>
      <c r="E14" s="5">
        <v>1.03</v>
      </c>
      <c r="F14" s="5">
        <v>1.04</v>
      </c>
      <c r="G14" s="5">
        <v>1.04</v>
      </c>
      <c r="H14" t="s">
        <v>30</v>
      </c>
      <c r="I14" t="s">
        <v>31</v>
      </c>
    </row>
    <row r="15" spans="1:9" x14ac:dyDescent="0.3">
      <c r="A15" t="s">
        <v>32</v>
      </c>
      <c r="B15" s="6">
        <v>12</v>
      </c>
      <c r="C15" s="6">
        <v>30</v>
      </c>
      <c r="D15" s="6">
        <v>45</v>
      </c>
      <c r="E15" s="6">
        <v>58</v>
      </c>
      <c r="F15" s="6">
        <v>66</v>
      </c>
      <c r="G15" s="6">
        <v>70</v>
      </c>
      <c r="H15" t="s">
        <v>33</v>
      </c>
      <c r="I15" t="s">
        <v>34</v>
      </c>
    </row>
    <row r="16" spans="1:9" x14ac:dyDescent="0.3">
      <c r="A16" t="s">
        <v>35</v>
      </c>
      <c r="B16" s="3">
        <v>0</v>
      </c>
      <c r="C16" s="3">
        <v>0.57999999999999996</v>
      </c>
      <c r="D16" s="3">
        <v>0.61</v>
      </c>
      <c r="E16" s="3">
        <v>0.63</v>
      </c>
      <c r="F16" s="3">
        <v>0.65</v>
      </c>
      <c r="G16" s="3">
        <v>0.66</v>
      </c>
      <c r="H16" t="s">
        <v>6</v>
      </c>
      <c r="I16" t="s">
        <v>36</v>
      </c>
    </row>
    <row r="17" spans="1:9" x14ac:dyDescent="0.3">
      <c r="A17" t="s">
        <v>37</v>
      </c>
      <c r="B17" s="3">
        <v>0</v>
      </c>
      <c r="C17" s="3">
        <v>0.12</v>
      </c>
      <c r="D17" s="3">
        <v>0.18</v>
      </c>
      <c r="E17" s="3">
        <v>0.22</v>
      </c>
      <c r="F17" s="3">
        <v>0.24</v>
      </c>
      <c r="G17" s="3">
        <v>0.25</v>
      </c>
      <c r="H17" t="s">
        <v>6</v>
      </c>
      <c r="I17" t="s">
        <v>38</v>
      </c>
    </row>
    <row r="18" spans="1:9" x14ac:dyDescent="0.3">
      <c r="A18" t="s">
        <v>39</v>
      </c>
      <c r="B18" s="5">
        <v>0</v>
      </c>
      <c r="C18" s="5">
        <v>0.3</v>
      </c>
      <c r="D18" s="5">
        <v>1</v>
      </c>
      <c r="E18" s="5">
        <v>1</v>
      </c>
      <c r="F18" s="5">
        <v>1</v>
      </c>
      <c r="G18" s="5">
        <v>1</v>
      </c>
      <c r="H18" t="s">
        <v>30</v>
      </c>
      <c r="I18" t="s">
        <v>40</v>
      </c>
    </row>
    <row r="19" spans="1:9" x14ac:dyDescent="0.3">
      <c r="A19" t="s">
        <v>41</v>
      </c>
      <c r="B19" s="3">
        <v>0</v>
      </c>
      <c r="C19" s="3">
        <v>0.5</v>
      </c>
      <c r="D19" s="3">
        <v>0.55000000000000004</v>
      </c>
      <c r="E19" s="3">
        <v>0.6</v>
      </c>
      <c r="F19" s="3">
        <v>0.63</v>
      </c>
      <c r="G19" s="3">
        <v>0.65</v>
      </c>
      <c r="H19" t="s">
        <v>6</v>
      </c>
      <c r="I19" t="s">
        <v>42</v>
      </c>
    </row>
    <row r="20" spans="1:9" x14ac:dyDescent="0.3">
      <c r="A20" t="s">
        <v>43</v>
      </c>
      <c r="B20" s="3">
        <v>0</v>
      </c>
      <c r="C20" s="3">
        <v>0.1</v>
      </c>
      <c r="D20" s="3">
        <v>0.16</v>
      </c>
      <c r="E20" s="3">
        <v>0.2</v>
      </c>
      <c r="F20" s="3">
        <v>0.21</v>
      </c>
      <c r="G20" s="3">
        <v>0.22</v>
      </c>
      <c r="H20" t="s">
        <v>6</v>
      </c>
      <c r="I20" t="s">
        <v>44</v>
      </c>
    </row>
    <row r="21" spans="1:9" x14ac:dyDescent="0.3">
      <c r="A21" t="s">
        <v>45</v>
      </c>
      <c r="B21" s="5">
        <v>0</v>
      </c>
      <c r="C21" s="5">
        <v>0.5</v>
      </c>
      <c r="D21" s="5">
        <v>1</v>
      </c>
      <c r="E21" s="5">
        <v>1</v>
      </c>
      <c r="F21" s="5">
        <v>1</v>
      </c>
      <c r="G21" s="5">
        <v>1</v>
      </c>
      <c r="H21" t="s">
        <v>30</v>
      </c>
      <c r="I21" t="s">
        <v>46</v>
      </c>
    </row>
    <row r="22" spans="1:9" x14ac:dyDescent="0.3">
      <c r="A22" t="s">
        <v>47</v>
      </c>
      <c r="B22" s="6">
        <v>6</v>
      </c>
      <c r="C22" s="6">
        <v>11.5</v>
      </c>
      <c r="D22" s="6">
        <v>17</v>
      </c>
      <c r="E22" s="6">
        <v>17</v>
      </c>
      <c r="F22" s="6">
        <v>17</v>
      </c>
      <c r="G22" s="6">
        <v>17</v>
      </c>
      <c r="H22" t="s">
        <v>48</v>
      </c>
      <c r="I22" t="s">
        <v>49</v>
      </c>
    </row>
    <row r="23" spans="1:9" x14ac:dyDescent="0.3">
      <c r="A23" t="s">
        <v>50</v>
      </c>
      <c r="B23" s="3">
        <v>0</v>
      </c>
      <c r="C23" s="3">
        <v>0.35</v>
      </c>
      <c r="D23" s="3">
        <v>0.42</v>
      </c>
      <c r="E23" s="3">
        <v>0.48</v>
      </c>
      <c r="F23" s="3">
        <v>0.52</v>
      </c>
      <c r="G23" s="3">
        <v>0.55000000000000004</v>
      </c>
      <c r="H23" t="s">
        <v>6</v>
      </c>
      <c r="I23" t="s">
        <v>51</v>
      </c>
    </row>
    <row r="24" spans="1:9" x14ac:dyDescent="0.3">
      <c r="A24" t="s">
        <v>52</v>
      </c>
      <c r="B24" s="5">
        <v>1</v>
      </c>
      <c r="C24" s="5">
        <v>1</v>
      </c>
      <c r="D24" s="5">
        <v>1.02</v>
      </c>
      <c r="E24" s="5">
        <v>1.04</v>
      </c>
      <c r="F24" s="5">
        <v>1.05</v>
      </c>
      <c r="G24" s="5">
        <v>1.05</v>
      </c>
      <c r="H24" t="s">
        <v>30</v>
      </c>
    </row>
    <row r="25" spans="1:9" x14ac:dyDescent="0.3">
      <c r="A25" t="s">
        <v>53</v>
      </c>
      <c r="B25" s="3">
        <v>0</v>
      </c>
      <c r="C25" s="3">
        <v>0.55000000000000004</v>
      </c>
      <c r="D25" s="3">
        <v>0.6</v>
      </c>
      <c r="E25" s="3">
        <v>0.63</v>
      </c>
      <c r="F25" s="3">
        <v>0.65</v>
      </c>
      <c r="G25" s="3">
        <v>0.65</v>
      </c>
      <c r="H25" t="s">
        <v>6</v>
      </c>
      <c r="I25" t="s">
        <v>54</v>
      </c>
    </row>
    <row r="26" spans="1:9" x14ac:dyDescent="0.3">
      <c r="A26" t="s">
        <v>55</v>
      </c>
      <c r="B26" s="3">
        <v>0</v>
      </c>
      <c r="C26" s="3">
        <v>0.2</v>
      </c>
      <c r="D26" s="3">
        <v>0.27</v>
      </c>
      <c r="E26" s="3">
        <v>0.32</v>
      </c>
      <c r="F26" s="3">
        <v>0.34</v>
      </c>
      <c r="G26" s="3">
        <v>0.35</v>
      </c>
      <c r="H26" t="s">
        <v>6</v>
      </c>
      <c r="I26" t="s">
        <v>56</v>
      </c>
    </row>
    <row r="27" spans="1:9" x14ac:dyDescent="0.3">
      <c r="A27" t="s">
        <v>57</v>
      </c>
      <c r="B27" s="5">
        <v>0</v>
      </c>
      <c r="C27" s="5">
        <v>0.8</v>
      </c>
      <c r="D27" s="5">
        <v>1</v>
      </c>
      <c r="E27" s="5">
        <v>1</v>
      </c>
      <c r="F27" s="5">
        <v>1</v>
      </c>
      <c r="G27" s="5">
        <v>1</v>
      </c>
      <c r="H27" t="s">
        <v>30</v>
      </c>
      <c r="I27" t="s">
        <v>58</v>
      </c>
    </row>
    <row r="28" spans="1:9" x14ac:dyDescent="0.3">
      <c r="A28" t="s">
        <v>59</v>
      </c>
      <c r="B28" s="3">
        <v>0</v>
      </c>
      <c r="C28" s="3">
        <v>0.08</v>
      </c>
      <c r="D28" s="3">
        <v>0.14000000000000001</v>
      </c>
      <c r="E28" s="3">
        <v>0.18</v>
      </c>
      <c r="F28" s="3">
        <v>0.19</v>
      </c>
      <c r="G28" s="3">
        <v>0.2</v>
      </c>
      <c r="H28" t="s">
        <v>6</v>
      </c>
      <c r="I28" t="s">
        <v>60</v>
      </c>
    </row>
    <row r="29" spans="1:9" x14ac:dyDescent="0.3">
      <c r="A29" t="s">
        <v>61</v>
      </c>
      <c r="B29" s="4">
        <v>0</v>
      </c>
      <c r="C29" s="4">
        <v>0</v>
      </c>
      <c r="D29" s="4">
        <v>60000</v>
      </c>
      <c r="E29" s="4">
        <v>120000</v>
      </c>
      <c r="F29" s="4">
        <v>150000</v>
      </c>
      <c r="G29" s="4">
        <v>160000</v>
      </c>
      <c r="H29" t="s">
        <v>9</v>
      </c>
      <c r="I29" t="s">
        <v>62</v>
      </c>
    </row>
    <row r="30" spans="1:9" x14ac:dyDescent="0.3">
      <c r="A30" t="s">
        <v>63</v>
      </c>
      <c r="B30" s="4">
        <v>96700</v>
      </c>
      <c r="C30" s="4">
        <v>105000</v>
      </c>
      <c r="D30" s="4">
        <v>125000</v>
      </c>
      <c r="E30" s="4">
        <v>140000</v>
      </c>
      <c r="F30" s="4">
        <v>148000</v>
      </c>
      <c r="G30" s="4">
        <v>155000</v>
      </c>
      <c r="H30" t="s">
        <v>9</v>
      </c>
      <c r="I30" t="s">
        <v>64</v>
      </c>
    </row>
    <row r="31" spans="1:9" x14ac:dyDescent="0.3">
      <c r="A31" t="s">
        <v>65</v>
      </c>
      <c r="B31" s="3">
        <v>0.39</v>
      </c>
      <c r="C31" s="3">
        <v>0.36</v>
      </c>
      <c r="D31" s="3">
        <v>0.34</v>
      </c>
      <c r="E31" s="3">
        <v>0.32</v>
      </c>
      <c r="F31" s="3">
        <v>0.31</v>
      </c>
      <c r="G31" s="3">
        <v>0.3</v>
      </c>
      <c r="H31" t="s">
        <v>6</v>
      </c>
      <c r="I31" t="s">
        <v>66</v>
      </c>
    </row>
    <row r="32" spans="1:9" x14ac:dyDescent="0.3">
      <c r="A32" t="s">
        <v>67</v>
      </c>
      <c r="B32" s="4">
        <v>242500</v>
      </c>
      <c r="C32" s="4">
        <v>275000</v>
      </c>
      <c r="D32" s="4">
        <v>400000</v>
      </c>
      <c r="E32" s="4">
        <v>420000</v>
      </c>
      <c r="F32" s="4">
        <v>435000</v>
      </c>
      <c r="G32" s="4">
        <v>450000</v>
      </c>
      <c r="H32" t="s">
        <v>9</v>
      </c>
      <c r="I32" t="s">
        <v>68</v>
      </c>
    </row>
    <row r="33" spans="1:9" x14ac:dyDescent="0.3">
      <c r="A33" t="s">
        <v>69</v>
      </c>
      <c r="B33" s="4">
        <v>60000</v>
      </c>
      <c r="C33" s="4">
        <v>95000</v>
      </c>
      <c r="D33" s="4">
        <v>130000</v>
      </c>
      <c r="E33" s="4">
        <v>134000</v>
      </c>
      <c r="F33" s="4">
        <v>138000</v>
      </c>
      <c r="G33" s="4">
        <v>142000</v>
      </c>
      <c r="H33" t="s">
        <v>9</v>
      </c>
    </row>
    <row r="34" spans="1:9" x14ac:dyDescent="0.3">
      <c r="A34" t="s">
        <v>70</v>
      </c>
      <c r="B34" s="4">
        <v>54500</v>
      </c>
      <c r="C34" s="4">
        <v>75000</v>
      </c>
      <c r="D34" s="4">
        <v>130000</v>
      </c>
      <c r="E34" s="4">
        <v>133000</v>
      </c>
      <c r="F34" s="4">
        <v>136000</v>
      </c>
      <c r="G34" s="4">
        <v>139000</v>
      </c>
      <c r="H34" t="s">
        <v>9</v>
      </c>
      <c r="I34" t="s">
        <v>71</v>
      </c>
    </row>
    <row r="35" spans="1:9" x14ac:dyDescent="0.3">
      <c r="A35" t="s">
        <v>72</v>
      </c>
      <c r="B35" s="3">
        <v>0.03</v>
      </c>
      <c r="C35" s="3">
        <v>3.5000000000000003E-2</v>
      </c>
      <c r="D35" s="3">
        <v>3.5000000000000003E-2</v>
      </c>
      <c r="E35" s="3">
        <v>0.03</v>
      </c>
      <c r="F35" s="3">
        <v>0.03</v>
      </c>
      <c r="G35" s="3">
        <v>0.03</v>
      </c>
      <c r="H35" t="s">
        <v>6</v>
      </c>
    </row>
    <row r="37" spans="1:9" x14ac:dyDescent="0.3">
      <c r="A37" s="2" t="s">
        <v>73</v>
      </c>
    </row>
    <row r="38" spans="1:9" x14ac:dyDescent="0.3">
      <c r="A38" t="s">
        <v>74</v>
      </c>
      <c r="B38" s="6">
        <v>16</v>
      </c>
      <c r="C38" t="s">
        <v>75</v>
      </c>
      <c r="D38" t="s">
        <v>76</v>
      </c>
    </row>
    <row r="39" spans="1:9" x14ac:dyDescent="0.3">
      <c r="A39" t="s">
        <v>77</v>
      </c>
      <c r="B39" s="4">
        <v>235</v>
      </c>
      <c r="C39" t="s">
        <v>9</v>
      </c>
      <c r="D39" t="s">
        <v>78</v>
      </c>
    </row>
    <row r="40" spans="1:9" x14ac:dyDescent="0.3">
      <c r="A40" t="s">
        <v>79</v>
      </c>
      <c r="B40" s="4">
        <v>210</v>
      </c>
      <c r="C40" t="s">
        <v>9</v>
      </c>
      <c r="D40" t="s">
        <v>44</v>
      </c>
    </row>
    <row r="41" spans="1:9" x14ac:dyDescent="0.3">
      <c r="A41" t="s">
        <v>80</v>
      </c>
      <c r="B41" s="6">
        <v>13</v>
      </c>
      <c r="C41" t="s">
        <v>75</v>
      </c>
    </row>
    <row r="42" spans="1:9" x14ac:dyDescent="0.3">
      <c r="A42" t="s">
        <v>81</v>
      </c>
      <c r="B42" s="4">
        <v>275</v>
      </c>
      <c r="C42" t="s">
        <v>9</v>
      </c>
      <c r="D42" t="s">
        <v>42</v>
      </c>
    </row>
    <row r="43" spans="1:9" x14ac:dyDescent="0.3">
      <c r="A43" t="s">
        <v>82</v>
      </c>
      <c r="B43" s="4">
        <v>245</v>
      </c>
      <c r="C43" t="s">
        <v>9</v>
      </c>
      <c r="D43" t="s">
        <v>44</v>
      </c>
    </row>
    <row r="44" spans="1:9" x14ac:dyDescent="0.3">
      <c r="A44" t="s">
        <v>83</v>
      </c>
      <c r="B44" s="4">
        <v>190</v>
      </c>
      <c r="C44" t="s">
        <v>9</v>
      </c>
      <c r="D44" t="s">
        <v>78</v>
      </c>
    </row>
    <row r="45" spans="1:9" x14ac:dyDescent="0.3">
      <c r="A45" t="s">
        <v>84</v>
      </c>
      <c r="B45" s="6">
        <v>9</v>
      </c>
      <c r="C45" t="s">
        <v>75</v>
      </c>
      <c r="D45" t="s">
        <v>85</v>
      </c>
    </row>
    <row r="46" spans="1:9" x14ac:dyDescent="0.3">
      <c r="A46" t="s">
        <v>86</v>
      </c>
      <c r="B46" s="4">
        <v>225</v>
      </c>
      <c r="C46" t="s">
        <v>9</v>
      </c>
      <c r="D46" t="s">
        <v>87</v>
      </c>
    </row>
    <row r="47" spans="1:9" x14ac:dyDescent="0.3">
      <c r="A47" t="s">
        <v>88</v>
      </c>
      <c r="B47" s="4">
        <v>199</v>
      </c>
      <c r="C47" t="s">
        <v>9</v>
      </c>
      <c r="D47" t="s">
        <v>44</v>
      </c>
    </row>
    <row r="48" spans="1:9" x14ac:dyDescent="0.3">
      <c r="A48" t="s">
        <v>89</v>
      </c>
      <c r="B48" s="4">
        <v>3650</v>
      </c>
      <c r="C48" t="s">
        <v>9</v>
      </c>
      <c r="D48" t="s">
        <v>23</v>
      </c>
    </row>
    <row r="49" spans="1:4" x14ac:dyDescent="0.3">
      <c r="A49" t="s">
        <v>90</v>
      </c>
      <c r="B49" s="4">
        <v>55</v>
      </c>
      <c r="C49" t="s">
        <v>9</v>
      </c>
    </row>
    <row r="51" spans="1:4" x14ac:dyDescent="0.3">
      <c r="A51" s="2" t="s">
        <v>91</v>
      </c>
    </row>
    <row r="52" spans="1:4" x14ac:dyDescent="0.3">
      <c r="A52" t="s">
        <v>92</v>
      </c>
      <c r="B52" s="3">
        <v>0.33</v>
      </c>
      <c r="C52" t="s">
        <v>6</v>
      </c>
      <c r="D52" t="s">
        <v>93</v>
      </c>
    </row>
    <row r="53" spans="1:4" x14ac:dyDescent="0.3">
      <c r="A53" t="s">
        <v>94</v>
      </c>
      <c r="B53" s="3">
        <v>0.2</v>
      </c>
      <c r="C53" t="s">
        <v>6</v>
      </c>
    </row>
    <row r="54" spans="1:4" x14ac:dyDescent="0.3">
      <c r="A54" t="s">
        <v>95</v>
      </c>
      <c r="B54" s="3">
        <v>0.55000000000000004</v>
      </c>
      <c r="C54" t="s">
        <v>6</v>
      </c>
      <c r="D54" t="s">
        <v>44</v>
      </c>
    </row>
    <row r="55" spans="1:4" x14ac:dyDescent="0.3">
      <c r="A55" t="s">
        <v>96</v>
      </c>
      <c r="B55" s="3">
        <v>0.06</v>
      </c>
      <c r="C55" t="s">
        <v>6</v>
      </c>
      <c r="D55" t="s">
        <v>44</v>
      </c>
    </row>
    <row r="56" spans="1:4" x14ac:dyDescent="0.3">
      <c r="A56" t="s">
        <v>97</v>
      </c>
      <c r="B56" s="3">
        <v>0.08</v>
      </c>
      <c r="C56" t="s">
        <v>6</v>
      </c>
      <c r="D56" t="s">
        <v>98</v>
      </c>
    </row>
    <row r="57" spans="1:4" x14ac:dyDescent="0.3">
      <c r="A57" t="s">
        <v>99</v>
      </c>
      <c r="B57" s="3">
        <v>0.02</v>
      </c>
      <c r="C57" t="s">
        <v>6</v>
      </c>
      <c r="D57" t="s">
        <v>100</v>
      </c>
    </row>
    <row r="58" spans="1:4" x14ac:dyDescent="0.3">
      <c r="A58" t="s">
        <v>101</v>
      </c>
      <c r="B58" s="4">
        <v>88500</v>
      </c>
      <c r="C58" t="s">
        <v>9</v>
      </c>
      <c r="D58" t="s">
        <v>68</v>
      </c>
    </row>
    <row r="59" spans="1:4" x14ac:dyDescent="0.3">
      <c r="A59" t="s">
        <v>102</v>
      </c>
      <c r="B59" s="4">
        <v>25000</v>
      </c>
      <c r="C59" t="s">
        <v>9</v>
      </c>
      <c r="D59" t="s">
        <v>44</v>
      </c>
    </row>
    <row r="60" spans="1:4" x14ac:dyDescent="0.3">
      <c r="A60" t="s">
        <v>103</v>
      </c>
      <c r="B60" s="3">
        <v>0.02</v>
      </c>
      <c r="C60" t="s">
        <v>6</v>
      </c>
    </row>
    <row r="61" spans="1:4" x14ac:dyDescent="0.3">
      <c r="A61" t="s">
        <v>104</v>
      </c>
      <c r="B61" s="3">
        <v>1.4999999999999999E-2</v>
      </c>
      <c r="C61" t="s">
        <v>6</v>
      </c>
    </row>
    <row r="62" spans="1:4" x14ac:dyDescent="0.3">
      <c r="A62" t="s">
        <v>105</v>
      </c>
      <c r="B62" s="3">
        <v>2.5000000000000001E-2</v>
      </c>
      <c r="C62" t="s">
        <v>6</v>
      </c>
    </row>
    <row r="63" spans="1:4" x14ac:dyDescent="0.3">
      <c r="A63" t="s">
        <v>106</v>
      </c>
      <c r="B63" s="4">
        <v>42000</v>
      </c>
      <c r="C63" t="s">
        <v>9</v>
      </c>
      <c r="D63" t="s">
        <v>68</v>
      </c>
    </row>
    <row r="64" spans="1:4" x14ac:dyDescent="0.3">
      <c r="A64" t="s">
        <v>107</v>
      </c>
      <c r="B64" s="3">
        <v>0.02</v>
      </c>
      <c r="C64" t="s">
        <v>6</v>
      </c>
    </row>
    <row r="65" spans="1:4" x14ac:dyDescent="0.3">
      <c r="A65" t="s">
        <v>108</v>
      </c>
      <c r="B65" s="4">
        <v>150000</v>
      </c>
      <c r="C65" t="s">
        <v>9</v>
      </c>
      <c r="D65" t="s">
        <v>44</v>
      </c>
    </row>
    <row r="66" spans="1:4" x14ac:dyDescent="0.3">
      <c r="A66" t="s">
        <v>109</v>
      </c>
      <c r="B66" s="3">
        <v>0.122</v>
      </c>
      <c r="C66" t="s">
        <v>6</v>
      </c>
      <c r="D66" t="s">
        <v>110</v>
      </c>
    </row>
    <row r="67" spans="1:4" x14ac:dyDescent="0.3">
      <c r="A67" t="s">
        <v>111</v>
      </c>
      <c r="B67" s="3">
        <v>0.26500000000000001</v>
      </c>
      <c r="C67" t="s">
        <v>6</v>
      </c>
      <c r="D67" t="s">
        <v>110</v>
      </c>
    </row>
    <row r="68" spans="1:4" x14ac:dyDescent="0.3">
      <c r="A68" t="s">
        <v>112</v>
      </c>
      <c r="B68" s="3">
        <v>7.4999999999999997E-2</v>
      </c>
      <c r="C68" t="s">
        <v>6</v>
      </c>
      <c r="D68" t="s">
        <v>113</v>
      </c>
    </row>
    <row r="70" spans="1:4" x14ac:dyDescent="0.3">
      <c r="A70" s="2" t="s">
        <v>114</v>
      </c>
    </row>
    <row r="71" spans="1:4" x14ac:dyDescent="0.3">
      <c r="A71" t="s">
        <v>115</v>
      </c>
      <c r="B71" s="3">
        <v>1</v>
      </c>
      <c r="C71" t="s">
        <v>6</v>
      </c>
      <c r="D71" t="s">
        <v>116</v>
      </c>
    </row>
    <row r="72" spans="1:4" x14ac:dyDescent="0.3">
      <c r="A72" t="s">
        <v>117</v>
      </c>
      <c r="B72" s="3">
        <v>1</v>
      </c>
      <c r="C72" t="s">
        <v>6</v>
      </c>
      <c r="D72" t="s">
        <v>116</v>
      </c>
    </row>
    <row r="73" spans="1:4" x14ac:dyDescent="0.3">
      <c r="A73" t="s">
        <v>118</v>
      </c>
      <c r="B73" s="3">
        <v>1</v>
      </c>
      <c r="C73" t="s">
        <v>6</v>
      </c>
      <c r="D73" t="s">
        <v>116</v>
      </c>
    </row>
    <row r="74" spans="1:4" x14ac:dyDescent="0.3">
      <c r="A74" t="s">
        <v>119</v>
      </c>
      <c r="B74" s="3">
        <v>0.5</v>
      </c>
      <c r="C74" t="s">
        <v>6</v>
      </c>
      <c r="D74" t="s">
        <v>116</v>
      </c>
    </row>
    <row r="75" spans="1:4" x14ac:dyDescent="0.3">
      <c r="A75" t="s">
        <v>120</v>
      </c>
      <c r="B75" s="3">
        <v>0.15</v>
      </c>
      <c r="C75" t="s">
        <v>6</v>
      </c>
      <c r="D75" t="s">
        <v>116</v>
      </c>
    </row>
    <row r="76" spans="1:4" x14ac:dyDescent="0.3">
      <c r="A76" t="s">
        <v>121</v>
      </c>
      <c r="B76" s="3">
        <v>0.5</v>
      </c>
      <c r="C76" t="s">
        <v>6</v>
      </c>
      <c r="D76" t="s">
        <v>116</v>
      </c>
    </row>
    <row r="77" spans="1:4" x14ac:dyDescent="0.3">
      <c r="A77" t="s">
        <v>122</v>
      </c>
      <c r="B77" s="3">
        <v>0.3</v>
      </c>
      <c r="C77" t="s">
        <v>6</v>
      </c>
      <c r="D77" t="s">
        <v>116</v>
      </c>
    </row>
    <row r="78" spans="1:4" x14ac:dyDescent="0.3">
      <c r="A78" t="s">
        <v>123</v>
      </c>
      <c r="B78" s="3">
        <v>0.5</v>
      </c>
      <c r="C78" t="s">
        <v>6</v>
      </c>
      <c r="D78" t="s">
        <v>116</v>
      </c>
    </row>
    <row r="79" spans="1:4" x14ac:dyDescent="0.3">
      <c r="A79" t="s">
        <v>124</v>
      </c>
      <c r="B79" s="3">
        <v>0</v>
      </c>
      <c r="C79" t="s">
        <v>6</v>
      </c>
      <c r="D79" t="s">
        <v>116</v>
      </c>
    </row>
    <row r="80" spans="1:4" x14ac:dyDescent="0.3">
      <c r="A80" t="s">
        <v>125</v>
      </c>
      <c r="B80" s="3">
        <v>0</v>
      </c>
      <c r="C80" t="s">
        <v>6</v>
      </c>
      <c r="D80" t="s">
        <v>116</v>
      </c>
    </row>
    <row r="81" spans="1:4" x14ac:dyDescent="0.3">
      <c r="A81" t="s">
        <v>126</v>
      </c>
      <c r="B81" s="3">
        <v>0</v>
      </c>
      <c r="C81" t="s">
        <v>6</v>
      </c>
      <c r="D81" t="s">
        <v>116</v>
      </c>
    </row>
    <row r="82" spans="1:4" x14ac:dyDescent="0.3">
      <c r="A82" t="s">
        <v>127</v>
      </c>
      <c r="B82" s="3">
        <v>0.5</v>
      </c>
      <c r="C82" t="s">
        <v>6</v>
      </c>
      <c r="D82" t="s">
        <v>116</v>
      </c>
    </row>
    <row r="83" spans="1:4" x14ac:dyDescent="0.3">
      <c r="A83" t="s">
        <v>128</v>
      </c>
      <c r="B83" s="3">
        <v>1</v>
      </c>
      <c r="C83" t="s">
        <v>6</v>
      </c>
      <c r="D83" t="s">
        <v>116</v>
      </c>
    </row>
    <row r="84" spans="1:4" x14ac:dyDescent="0.3">
      <c r="A84" t="s">
        <v>129</v>
      </c>
      <c r="B84" s="3">
        <v>1</v>
      </c>
      <c r="C84" t="s">
        <v>6</v>
      </c>
      <c r="D84" t="s">
        <v>116</v>
      </c>
    </row>
    <row r="85" spans="1:4" x14ac:dyDescent="0.3">
      <c r="A85" t="s">
        <v>130</v>
      </c>
      <c r="B85" s="3">
        <v>0</v>
      </c>
      <c r="C85" t="s">
        <v>6</v>
      </c>
      <c r="D85" t="s">
        <v>116</v>
      </c>
    </row>
    <row r="86" spans="1:4" x14ac:dyDescent="0.3">
      <c r="A86" t="s">
        <v>131</v>
      </c>
      <c r="B86" s="3">
        <v>1</v>
      </c>
      <c r="C86" t="s">
        <v>6</v>
      </c>
      <c r="D86" t="s">
        <v>116</v>
      </c>
    </row>
    <row r="87" spans="1:4" x14ac:dyDescent="0.3">
      <c r="A87" t="s">
        <v>132</v>
      </c>
      <c r="B87" s="5">
        <v>1</v>
      </c>
      <c r="C87" t="s">
        <v>30</v>
      </c>
      <c r="D87" t="s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80" customWidth="1"/>
    <col min="2" max="2" width="16" customWidth="1"/>
    <col min="3" max="6" width="18" customWidth="1"/>
  </cols>
  <sheetData>
    <row r="1" spans="1:6" x14ac:dyDescent="0.3">
      <c r="A1" s="1" t="s">
        <v>134</v>
      </c>
      <c r="B1" s="1" t="s">
        <v>135</v>
      </c>
      <c r="C1" s="1" t="s">
        <v>136</v>
      </c>
    </row>
    <row r="2" spans="1:6" x14ac:dyDescent="0.3">
      <c r="A2" t="s">
        <v>137</v>
      </c>
      <c r="B2" s="4">
        <v>2859800</v>
      </c>
    </row>
    <row r="3" spans="1:6" x14ac:dyDescent="0.3">
      <c r="A3" t="s">
        <v>138</v>
      </c>
      <c r="B3" s="4">
        <v>235490</v>
      </c>
    </row>
    <row r="4" spans="1:6" x14ac:dyDescent="0.3">
      <c r="A4" t="s">
        <v>139</v>
      </c>
      <c r="B4" s="4">
        <v>175000</v>
      </c>
    </row>
    <row r="5" spans="1:6" x14ac:dyDescent="0.3">
      <c r="A5" t="s">
        <v>140</v>
      </c>
      <c r="B5" s="4">
        <v>250000</v>
      </c>
    </row>
    <row r="6" spans="1:6" x14ac:dyDescent="0.3">
      <c r="A6" t="s">
        <v>141</v>
      </c>
      <c r="B6" s="4">
        <v>52500</v>
      </c>
    </row>
    <row r="7" spans="1:6" x14ac:dyDescent="0.3">
      <c r="A7" t="s">
        <v>142</v>
      </c>
      <c r="B7" s="4">
        <v>233237</v>
      </c>
    </row>
    <row r="8" spans="1:6" x14ac:dyDescent="0.3">
      <c r="A8" t="s">
        <v>143</v>
      </c>
      <c r="B8" s="4">
        <v>125000</v>
      </c>
    </row>
    <row r="9" spans="1:6" x14ac:dyDescent="0.3">
      <c r="A9" t="s">
        <v>144</v>
      </c>
      <c r="B9" s="4">
        <v>250000</v>
      </c>
    </row>
    <row r="10" spans="1:6" x14ac:dyDescent="0.3">
      <c r="A10" t="s">
        <v>145</v>
      </c>
      <c r="B10" s="4">
        <v>4000000</v>
      </c>
    </row>
    <row r="11" spans="1:6" x14ac:dyDescent="0.3">
      <c r="A11" s="2" t="s">
        <v>146</v>
      </c>
      <c r="B11" s="7">
        <f>SUM(B2:B10)</f>
        <v>8181027</v>
      </c>
    </row>
    <row r="13" spans="1:6" ht="28.8" x14ac:dyDescent="0.3">
      <c r="A13" s="1" t="s">
        <v>147</v>
      </c>
      <c r="B13" s="1" t="s">
        <v>135</v>
      </c>
      <c r="C13" s="1" t="s">
        <v>148</v>
      </c>
      <c r="D13" s="1" t="s">
        <v>149</v>
      </c>
      <c r="E13" s="1" t="s">
        <v>150</v>
      </c>
      <c r="F13" s="1" t="s">
        <v>136</v>
      </c>
    </row>
    <row r="14" spans="1:6" x14ac:dyDescent="0.3">
      <c r="A14" t="s">
        <v>151</v>
      </c>
      <c r="B14" s="4">
        <v>5500000</v>
      </c>
      <c r="C14" s="3">
        <v>7.0000000000000007E-2</v>
      </c>
      <c r="D14" s="6">
        <v>25</v>
      </c>
      <c r="E14" s="6">
        <v>12</v>
      </c>
      <c r="F14" t="s">
        <v>152</v>
      </c>
    </row>
    <row r="15" spans="1:6" x14ac:dyDescent="0.3">
      <c r="A15" t="s">
        <v>153</v>
      </c>
      <c r="B15" s="4">
        <v>500000</v>
      </c>
      <c r="C15" s="3">
        <v>0</v>
      </c>
      <c r="D15" s="6">
        <v>7</v>
      </c>
      <c r="E15" s="6">
        <v>24</v>
      </c>
      <c r="F15" t="s">
        <v>154</v>
      </c>
    </row>
    <row r="16" spans="1:6" x14ac:dyDescent="0.3">
      <c r="A16" t="s">
        <v>155</v>
      </c>
      <c r="B16" s="4">
        <v>750000</v>
      </c>
      <c r="C16" s="3">
        <v>0.09</v>
      </c>
      <c r="D16" s="6">
        <v>7</v>
      </c>
      <c r="E16" s="6">
        <v>36</v>
      </c>
      <c r="F16" t="s">
        <v>154</v>
      </c>
    </row>
    <row r="17" spans="1:6" x14ac:dyDescent="0.3">
      <c r="A17" t="s">
        <v>156</v>
      </c>
      <c r="B17" s="4">
        <v>150000</v>
      </c>
      <c r="C17" s="3">
        <v>0.06</v>
      </c>
      <c r="D17" s="6">
        <v>7</v>
      </c>
      <c r="E17" s="6">
        <v>12</v>
      </c>
      <c r="F17" t="s">
        <v>154</v>
      </c>
    </row>
    <row r="18" spans="1:6" x14ac:dyDescent="0.3">
      <c r="A18" t="s">
        <v>157</v>
      </c>
      <c r="B18" s="4">
        <v>185000</v>
      </c>
      <c r="C18" s="3">
        <v>0.05</v>
      </c>
      <c r="D18" s="6">
        <v>5</v>
      </c>
      <c r="E18" s="6">
        <v>24</v>
      </c>
      <c r="F18" t="s">
        <v>158</v>
      </c>
    </row>
    <row r="19" spans="1:6" x14ac:dyDescent="0.3">
      <c r="A19" s="2" t="s">
        <v>159</v>
      </c>
      <c r="B19" s="7">
        <f>Investissement!$B$11-SUM(B14:B18)</f>
        <v>1096027</v>
      </c>
    </row>
    <row r="20" spans="1:6" x14ac:dyDescent="0.3">
      <c r="A20" s="2" t="s">
        <v>160</v>
      </c>
      <c r="B20" s="7">
        <f>SUM(B14:B19)</f>
        <v>8181027</v>
      </c>
    </row>
    <row r="21" spans="1:6" x14ac:dyDescent="0.3">
      <c r="A21" t="s">
        <v>161</v>
      </c>
      <c r="B21" s="7">
        <f>Investissement!$B$11-B10</f>
        <v>4181027</v>
      </c>
    </row>
    <row r="22" spans="1:6" x14ac:dyDescent="0.3">
      <c r="A22" t="s">
        <v>162</v>
      </c>
      <c r="B22" s="8">
        <f>Investissement!$B$19/Investissement!$B$21</f>
        <v>0.26214300936109719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0" customWidth="1"/>
    <col min="2" max="10" width="15" customWidth="1"/>
  </cols>
  <sheetData>
    <row r="1" spans="1:10" x14ac:dyDescent="0.3">
      <c r="A1" s="2" t="s">
        <v>151</v>
      </c>
    </row>
    <row r="2" spans="1:10" x14ac:dyDescent="0.3">
      <c r="A2" t="s">
        <v>135</v>
      </c>
      <c r="B2" s="7">
        <f>Investissement!B14</f>
        <v>5500000</v>
      </c>
      <c r="C2" t="s">
        <v>148</v>
      </c>
      <c r="D2" s="8">
        <f>Investissement!C14</f>
        <v>7.0000000000000007E-2</v>
      </c>
      <c r="E2" t="s">
        <v>163</v>
      </c>
      <c r="F2">
        <f>Investissement!D14</f>
        <v>25</v>
      </c>
      <c r="G2" t="s">
        <v>150</v>
      </c>
      <c r="H2">
        <f>Investissement!E14</f>
        <v>12</v>
      </c>
      <c r="I2" t="s">
        <v>164</v>
      </c>
      <c r="J2" s="7">
        <f>IF(D2=0,B2/(F2*12),PMT(D2/12,F2*12,-B2))</f>
        <v>38872.855850130043</v>
      </c>
    </row>
    <row r="3" spans="1:10" x14ac:dyDescent="0.3">
      <c r="A3" s="1" t="s">
        <v>165</v>
      </c>
      <c r="B3" s="1" t="s">
        <v>166</v>
      </c>
      <c r="C3" s="1" t="s">
        <v>167</v>
      </c>
      <c r="D3" s="1" t="s">
        <v>168</v>
      </c>
      <c r="E3" s="1" t="s">
        <v>169</v>
      </c>
      <c r="F3" s="1" t="s">
        <v>170</v>
      </c>
    </row>
    <row r="4" spans="1:10" x14ac:dyDescent="0.3">
      <c r="A4">
        <v>1</v>
      </c>
      <c r="B4" s="7">
        <f>B2</f>
        <v>5500000</v>
      </c>
      <c r="C4" s="7">
        <f t="shared" ref="C4:C15" si="0">B4*D$2/12*1</f>
        <v>32083.333333333339</v>
      </c>
      <c r="D4" s="7">
        <f t="shared" ref="D4:D35" si="1">IF(A4&lt;=H$2,0,MIN(B4,IF(D$2=0,J$2,J$2-B4*D$2/12)))</f>
        <v>0</v>
      </c>
      <c r="E4" s="7">
        <f t="shared" ref="E4:E35" si="2">C4+D4</f>
        <v>32083.333333333339</v>
      </c>
      <c r="F4" s="7">
        <f t="shared" ref="F4:F35" si="3">B4-D4</f>
        <v>5500000</v>
      </c>
    </row>
    <row r="5" spans="1:10" x14ac:dyDescent="0.3">
      <c r="A5">
        <v>2</v>
      </c>
      <c r="B5" s="7">
        <f t="shared" ref="B5:B36" si="4">F4</f>
        <v>5500000</v>
      </c>
      <c r="C5" s="7">
        <f t="shared" si="0"/>
        <v>32083.333333333339</v>
      </c>
      <c r="D5" s="7">
        <f t="shared" si="1"/>
        <v>0</v>
      </c>
      <c r="E5" s="7">
        <f t="shared" si="2"/>
        <v>32083.333333333339</v>
      </c>
      <c r="F5" s="7">
        <f t="shared" si="3"/>
        <v>5500000</v>
      </c>
    </row>
    <row r="6" spans="1:10" x14ac:dyDescent="0.3">
      <c r="A6">
        <v>3</v>
      </c>
      <c r="B6" s="7">
        <f t="shared" si="4"/>
        <v>5500000</v>
      </c>
      <c r="C6" s="7">
        <f t="shared" si="0"/>
        <v>32083.333333333339</v>
      </c>
      <c r="D6" s="7">
        <f t="shared" si="1"/>
        <v>0</v>
      </c>
      <c r="E6" s="7">
        <f t="shared" si="2"/>
        <v>32083.333333333339</v>
      </c>
      <c r="F6" s="7">
        <f t="shared" si="3"/>
        <v>5500000</v>
      </c>
    </row>
    <row r="7" spans="1:10" x14ac:dyDescent="0.3">
      <c r="A7">
        <v>4</v>
      </c>
      <c r="B7" s="7">
        <f t="shared" si="4"/>
        <v>5500000</v>
      </c>
      <c r="C7" s="7">
        <f t="shared" si="0"/>
        <v>32083.333333333339</v>
      </c>
      <c r="D7" s="7">
        <f t="shared" si="1"/>
        <v>0</v>
      </c>
      <c r="E7" s="7">
        <f t="shared" si="2"/>
        <v>32083.333333333339</v>
      </c>
      <c r="F7" s="7">
        <f t="shared" si="3"/>
        <v>5500000</v>
      </c>
    </row>
    <row r="8" spans="1:10" x14ac:dyDescent="0.3">
      <c r="A8">
        <v>5</v>
      </c>
      <c r="B8" s="7">
        <f t="shared" si="4"/>
        <v>5500000</v>
      </c>
      <c r="C8" s="7">
        <f t="shared" si="0"/>
        <v>32083.333333333339</v>
      </c>
      <c r="D8" s="7">
        <f t="shared" si="1"/>
        <v>0</v>
      </c>
      <c r="E8" s="7">
        <f t="shared" si="2"/>
        <v>32083.333333333339</v>
      </c>
      <c r="F8" s="7">
        <f t="shared" si="3"/>
        <v>5500000</v>
      </c>
    </row>
    <row r="9" spans="1:10" x14ac:dyDescent="0.3">
      <c r="A9">
        <v>6</v>
      </c>
      <c r="B9" s="7">
        <f t="shared" si="4"/>
        <v>5500000</v>
      </c>
      <c r="C9" s="7">
        <f t="shared" si="0"/>
        <v>32083.333333333339</v>
      </c>
      <c r="D9" s="7">
        <f t="shared" si="1"/>
        <v>0</v>
      </c>
      <c r="E9" s="7">
        <f t="shared" si="2"/>
        <v>32083.333333333339</v>
      </c>
      <c r="F9" s="7">
        <f t="shared" si="3"/>
        <v>5500000</v>
      </c>
    </row>
    <row r="10" spans="1:10" x14ac:dyDescent="0.3">
      <c r="A10">
        <v>7</v>
      </c>
      <c r="B10" s="7">
        <f t="shared" si="4"/>
        <v>5500000</v>
      </c>
      <c r="C10" s="7">
        <f t="shared" si="0"/>
        <v>32083.333333333339</v>
      </c>
      <c r="D10" s="7">
        <f t="shared" si="1"/>
        <v>0</v>
      </c>
      <c r="E10" s="7">
        <f t="shared" si="2"/>
        <v>32083.333333333339</v>
      </c>
      <c r="F10" s="7">
        <f t="shared" si="3"/>
        <v>5500000</v>
      </c>
    </row>
    <row r="11" spans="1:10" x14ac:dyDescent="0.3">
      <c r="A11">
        <v>8</v>
      </c>
      <c r="B11" s="7">
        <f t="shared" si="4"/>
        <v>5500000</v>
      </c>
      <c r="C11" s="7">
        <f t="shared" si="0"/>
        <v>32083.333333333339</v>
      </c>
      <c r="D11" s="7">
        <f t="shared" si="1"/>
        <v>0</v>
      </c>
      <c r="E11" s="7">
        <f t="shared" si="2"/>
        <v>32083.333333333339</v>
      </c>
      <c r="F11" s="7">
        <f t="shared" si="3"/>
        <v>5500000</v>
      </c>
    </row>
    <row r="12" spans="1:10" x14ac:dyDescent="0.3">
      <c r="A12">
        <v>9</v>
      </c>
      <c r="B12" s="7">
        <f t="shared" si="4"/>
        <v>5500000</v>
      </c>
      <c r="C12" s="7">
        <f t="shared" si="0"/>
        <v>32083.333333333339</v>
      </c>
      <c r="D12" s="7">
        <f t="shared" si="1"/>
        <v>0</v>
      </c>
      <c r="E12" s="7">
        <f t="shared" si="2"/>
        <v>32083.333333333339</v>
      </c>
      <c r="F12" s="7">
        <f t="shared" si="3"/>
        <v>5500000</v>
      </c>
    </row>
    <row r="13" spans="1:10" x14ac:dyDescent="0.3">
      <c r="A13">
        <v>10</v>
      </c>
      <c r="B13" s="7">
        <f t="shared" si="4"/>
        <v>5500000</v>
      </c>
      <c r="C13" s="7">
        <f t="shared" si="0"/>
        <v>32083.333333333339</v>
      </c>
      <c r="D13" s="7">
        <f t="shared" si="1"/>
        <v>0</v>
      </c>
      <c r="E13" s="7">
        <f t="shared" si="2"/>
        <v>32083.333333333339</v>
      </c>
      <c r="F13" s="7">
        <f t="shared" si="3"/>
        <v>5500000</v>
      </c>
    </row>
    <row r="14" spans="1:10" x14ac:dyDescent="0.3">
      <c r="A14">
        <v>11</v>
      </c>
      <c r="B14" s="7">
        <f t="shared" si="4"/>
        <v>5500000</v>
      </c>
      <c r="C14" s="7">
        <f t="shared" si="0"/>
        <v>32083.333333333339</v>
      </c>
      <c r="D14" s="7">
        <f t="shared" si="1"/>
        <v>0</v>
      </c>
      <c r="E14" s="7">
        <f t="shared" si="2"/>
        <v>32083.333333333339</v>
      </c>
      <c r="F14" s="7">
        <f t="shared" si="3"/>
        <v>5500000</v>
      </c>
    </row>
    <row r="15" spans="1:10" x14ac:dyDescent="0.3">
      <c r="A15">
        <v>12</v>
      </c>
      <c r="B15" s="7">
        <f t="shared" si="4"/>
        <v>5500000</v>
      </c>
      <c r="C15" s="7">
        <f t="shared" si="0"/>
        <v>32083.333333333339</v>
      </c>
      <c r="D15" s="7">
        <f t="shared" si="1"/>
        <v>0</v>
      </c>
      <c r="E15" s="7">
        <f t="shared" si="2"/>
        <v>32083.333333333339</v>
      </c>
      <c r="F15" s="7">
        <f t="shared" si="3"/>
        <v>5500000</v>
      </c>
    </row>
    <row r="16" spans="1:10" x14ac:dyDescent="0.3">
      <c r="A16">
        <v>13</v>
      </c>
      <c r="B16" s="7">
        <f t="shared" si="4"/>
        <v>5500000</v>
      </c>
      <c r="C16" s="7">
        <f t="shared" ref="C16:C63" si="5">B16*D$2/12</f>
        <v>32083.333333333339</v>
      </c>
      <c r="D16" s="7">
        <f t="shared" si="1"/>
        <v>6789.5225167967037</v>
      </c>
      <c r="E16" s="7">
        <f t="shared" si="2"/>
        <v>38872.855850130043</v>
      </c>
      <c r="F16" s="7">
        <f t="shared" si="3"/>
        <v>5493210.4774832036</v>
      </c>
    </row>
    <row r="17" spans="1:6" x14ac:dyDescent="0.3">
      <c r="A17">
        <v>14</v>
      </c>
      <c r="B17" s="7">
        <f t="shared" si="4"/>
        <v>5493210.4774832036</v>
      </c>
      <c r="C17" s="7">
        <f t="shared" si="5"/>
        <v>32043.727785318693</v>
      </c>
      <c r="D17" s="7">
        <f t="shared" si="1"/>
        <v>6829.1280648113498</v>
      </c>
      <c r="E17" s="7">
        <f t="shared" si="2"/>
        <v>38872.855850130043</v>
      </c>
      <c r="F17" s="7">
        <f t="shared" si="3"/>
        <v>5486381.3494183924</v>
      </c>
    </row>
    <row r="18" spans="1:6" x14ac:dyDescent="0.3">
      <c r="A18">
        <v>15</v>
      </c>
      <c r="B18" s="7">
        <f t="shared" si="4"/>
        <v>5486381.3494183924</v>
      </c>
      <c r="C18" s="7">
        <f t="shared" si="5"/>
        <v>32003.891204940624</v>
      </c>
      <c r="D18" s="7">
        <f t="shared" si="1"/>
        <v>6868.9646451894187</v>
      </c>
      <c r="E18" s="7">
        <f t="shared" si="2"/>
        <v>38872.855850130043</v>
      </c>
      <c r="F18" s="7">
        <f t="shared" si="3"/>
        <v>5479512.3847732032</v>
      </c>
    </row>
    <row r="19" spans="1:6" x14ac:dyDescent="0.3">
      <c r="A19">
        <v>16</v>
      </c>
      <c r="B19" s="7">
        <f t="shared" si="4"/>
        <v>5479512.3847732032</v>
      </c>
      <c r="C19" s="7">
        <f t="shared" si="5"/>
        <v>31963.822244510357</v>
      </c>
      <c r="D19" s="7">
        <f t="shared" si="1"/>
        <v>6909.0336056196866</v>
      </c>
      <c r="E19" s="7">
        <f t="shared" si="2"/>
        <v>38872.855850130043</v>
      </c>
      <c r="F19" s="7">
        <f t="shared" si="3"/>
        <v>5472603.3511675838</v>
      </c>
    </row>
    <row r="20" spans="1:6" x14ac:dyDescent="0.3">
      <c r="A20">
        <v>17</v>
      </c>
      <c r="B20" s="7">
        <f t="shared" si="4"/>
        <v>5472603.3511675838</v>
      </c>
      <c r="C20" s="7">
        <f t="shared" si="5"/>
        <v>31923.519548477576</v>
      </c>
      <c r="D20" s="7">
        <f t="shared" si="1"/>
        <v>6949.3363016524672</v>
      </c>
      <c r="E20" s="7">
        <f t="shared" si="2"/>
        <v>38872.855850130043</v>
      </c>
      <c r="F20" s="7">
        <f t="shared" si="3"/>
        <v>5465654.0148659311</v>
      </c>
    </row>
    <row r="21" spans="1:6" x14ac:dyDescent="0.3">
      <c r="A21">
        <v>18</v>
      </c>
      <c r="B21" s="7">
        <f t="shared" si="4"/>
        <v>5465654.0148659311</v>
      </c>
      <c r="C21" s="7">
        <f t="shared" si="5"/>
        <v>31882.981753384604</v>
      </c>
      <c r="D21" s="7">
        <f t="shared" si="1"/>
        <v>6989.8740967454396</v>
      </c>
      <c r="E21" s="7">
        <f t="shared" si="2"/>
        <v>38872.855850130043</v>
      </c>
      <c r="F21" s="7">
        <f t="shared" si="3"/>
        <v>5458664.1407691855</v>
      </c>
    </row>
    <row r="22" spans="1:6" x14ac:dyDescent="0.3">
      <c r="A22">
        <v>19</v>
      </c>
      <c r="B22" s="7">
        <f t="shared" si="4"/>
        <v>5458664.1407691855</v>
      </c>
      <c r="C22" s="7">
        <f t="shared" si="5"/>
        <v>31842.207487820251</v>
      </c>
      <c r="D22" s="7">
        <f t="shared" si="1"/>
        <v>7030.648362309792</v>
      </c>
      <c r="E22" s="7">
        <f t="shared" si="2"/>
        <v>38872.855850130043</v>
      </c>
      <c r="F22" s="7">
        <f t="shared" si="3"/>
        <v>5451633.4924068758</v>
      </c>
    </row>
    <row r="23" spans="1:6" x14ac:dyDescent="0.3">
      <c r="A23">
        <v>20</v>
      </c>
      <c r="B23" s="7">
        <f t="shared" si="4"/>
        <v>5451633.4924068758</v>
      </c>
      <c r="C23" s="7">
        <f t="shared" si="5"/>
        <v>31801.195372373448</v>
      </c>
      <c r="D23" s="7">
        <f t="shared" si="1"/>
        <v>7071.6604777565954</v>
      </c>
      <c r="E23" s="7">
        <f t="shared" si="2"/>
        <v>38872.855850130043</v>
      </c>
      <c r="F23" s="7">
        <f t="shared" si="3"/>
        <v>5444561.8319291193</v>
      </c>
    </row>
    <row r="24" spans="1:6" x14ac:dyDescent="0.3">
      <c r="A24">
        <v>21</v>
      </c>
      <c r="B24" s="7">
        <f t="shared" si="4"/>
        <v>5444561.8319291193</v>
      </c>
      <c r="C24" s="7">
        <f t="shared" si="5"/>
        <v>31759.944019586532</v>
      </c>
      <c r="D24" s="7">
        <f t="shared" si="1"/>
        <v>7112.9118305435113</v>
      </c>
      <c r="E24" s="7">
        <f t="shared" si="2"/>
        <v>38872.855850130043</v>
      </c>
      <c r="F24" s="7">
        <f t="shared" si="3"/>
        <v>5437448.9200985758</v>
      </c>
    </row>
    <row r="25" spans="1:6" x14ac:dyDescent="0.3">
      <c r="A25">
        <v>22</v>
      </c>
      <c r="B25" s="7">
        <f t="shared" si="4"/>
        <v>5437448.9200985758</v>
      </c>
      <c r="C25" s="7">
        <f t="shared" si="5"/>
        <v>31718.452033908365</v>
      </c>
      <c r="D25" s="7">
        <f t="shared" si="1"/>
        <v>7154.4038162216784</v>
      </c>
      <c r="E25" s="7">
        <f t="shared" si="2"/>
        <v>38872.855850130043</v>
      </c>
      <c r="F25" s="7">
        <f t="shared" si="3"/>
        <v>5430294.5162823545</v>
      </c>
    </row>
    <row r="26" spans="1:6" x14ac:dyDescent="0.3">
      <c r="A26">
        <v>23</v>
      </c>
      <c r="B26" s="7">
        <f t="shared" si="4"/>
        <v>5430294.5162823545</v>
      </c>
      <c r="C26" s="7">
        <f t="shared" si="5"/>
        <v>31676.71801164707</v>
      </c>
      <c r="D26" s="7">
        <f t="shared" si="1"/>
        <v>7196.1378384829732</v>
      </c>
      <c r="E26" s="7">
        <f t="shared" si="2"/>
        <v>38872.855850130043</v>
      </c>
      <c r="F26" s="7">
        <f t="shared" si="3"/>
        <v>5423098.3784438716</v>
      </c>
    </row>
    <row r="27" spans="1:6" x14ac:dyDescent="0.3">
      <c r="A27">
        <v>24</v>
      </c>
      <c r="B27" s="7">
        <f t="shared" si="4"/>
        <v>5423098.3784438716</v>
      </c>
      <c r="C27" s="7">
        <f t="shared" si="5"/>
        <v>31634.740540922587</v>
      </c>
      <c r="D27" s="7">
        <f t="shared" si="1"/>
        <v>7238.1153092074564</v>
      </c>
      <c r="E27" s="7">
        <f t="shared" si="2"/>
        <v>38872.855850130043</v>
      </c>
      <c r="F27" s="7">
        <f t="shared" si="3"/>
        <v>5415860.2631346639</v>
      </c>
    </row>
    <row r="28" spans="1:6" x14ac:dyDescent="0.3">
      <c r="A28">
        <v>25</v>
      </c>
      <c r="B28" s="7">
        <f t="shared" si="4"/>
        <v>5415860.2631346639</v>
      </c>
      <c r="C28" s="7">
        <f t="shared" si="5"/>
        <v>31592.518201618877</v>
      </c>
      <c r="D28" s="7">
        <f t="shared" si="1"/>
        <v>7280.3376485111658</v>
      </c>
      <c r="E28" s="7">
        <f t="shared" si="2"/>
        <v>38872.855850130043</v>
      </c>
      <c r="F28" s="7">
        <f t="shared" si="3"/>
        <v>5408579.925486153</v>
      </c>
    </row>
    <row r="29" spans="1:6" x14ac:dyDescent="0.3">
      <c r="A29">
        <v>26</v>
      </c>
      <c r="B29" s="7">
        <f t="shared" si="4"/>
        <v>5408579.925486153</v>
      </c>
      <c r="C29" s="7">
        <f t="shared" si="5"/>
        <v>31550.049565335896</v>
      </c>
      <c r="D29" s="7">
        <f t="shared" si="1"/>
        <v>7322.8062847941474</v>
      </c>
      <c r="E29" s="7">
        <f t="shared" si="2"/>
        <v>38872.855850130043</v>
      </c>
      <c r="F29" s="7">
        <f t="shared" si="3"/>
        <v>5401257.1192013584</v>
      </c>
    </row>
    <row r="30" spans="1:6" x14ac:dyDescent="0.3">
      <c r="A30">
        <v>27</v>
      </c>
      <c r="B30" s="7">
        <f t="shared" si="4"/>
        <v>5401257.1192013584</v>
      </c>
      <c r="C30" s="7">
        <f t="shared" si="5"/>
        <v>31507.33319534126</v>
      </c>
      <c r="D30" s="7">
        <f t="shared" si="1"/>
        <v>7365.5226547887833</v>
      </c>
      <c r="E30" s="7">
        <f t="shared" si="2"/>
        <v>38872.855850130043</v>
      </c>
      <c r="F30" s="7">
        <f t="shared" si="3"/>
        <v>5393891.5965465698</v>
      </c>
    </row>
    <row r="31" spans="1:6" x14ac:dyDescent="0.3">
      <c r="A31">
        <v>28</v>
      </c>
      <c r="B31" s="7">
        <f t="shared" si="4"/>
        <v>5393891.5965465698</v>
      </c>
      <c r="C31" s="7">
        <f t="shared" si="5"/>
        <v>31464.367646521659</v>
      </c>
      <c r="D31" s="7">
        <f t="shared" si="1"/>
        <v>7408.4882036083836</v>
      </c>
      <c r="E31" s="7">
        <f t="shared" si="2"/>
        <v>38872.855850130043</v>
      </c>
      <c r="F31" s="7">
        <f t="shared" si="3"/>
        <v>5386483.1083429614</v>
      </c>
    </row>
    <row r="32" spans="1:6" x14ac:dyDescent="0.3">
      <c r="A32">
        <v>29</v>
      </c>
      <c r="B32" s="7">
        <f t="shared" si="4"/>
        <v>5386483.1083429614</v>
      </c>
      <c r="C32" s="7">
        <f t="shared" si="5"/>
        <v>31421.151465333944</v>
      </c>
      <c r="D32" s="7">
        <f t="shared" si="1"/>
        <v>7451.7043847960995</v>
      </c>
      <c r="E32" s="7">
        <f t="shared" si="2"/>
        <v>38872.855850130043</v>
      </c>
      <c r="F32" s="7">
        <f t="shared" si="3"/>
        <v>5379031.4039581651</v>
      </c>
    </row>
    <row r="33" spans="1:6" x14ac:dyDescent="0.3">
      <c r="A33">
        <v>30</v>
      </c>
      <c r="B33" s="7">
        <f t="shared" si="4"/>
        <v>5379031.4039581651</v>
      </c>
      <c r="C33" s="7">
        <f t="shared" si="5"/>
        <v>31377.683189755964</v>
      </c>
      <c r="D33" s="7">
        <f t="shared" si="1"/>
        <v>7495.172660374079</v>
      </c>
      <c r="E33" s="7">
        <f t="shared" si="2"/>
        <v>38872.855850130043</v>
      </c>
      <c r="F33" s="7">
        <f t="shared" si="3"/>
        <v>5371536.231297791</v>
      </c>
    </row>
    <row r="34" spans="1:6" x14ac:dyDescent="0.3">
      <c r="A34">
        <v>31</v>
      </c>
      <c r="B34" s="7">
        <f t="shared" si="4"/>
        <v>5371536.231297791</v>
      </c>
      <c r="C34" s="7">
        <f t="shared" si="5"/>
        <v>31333.961349237117</v>
      </c>
      <c r="D34" s="7">
        <f t="shared" si="1"/>
        <v>7538.8945008929259</v>
      </c>
      <c r="E34" s="7">
        <f t="shared" si="2"/>
        <v>38872.855850130043</v>
      </c>
      <c r="F34" s="7">
        <f t="shared" si="3"/>
        <v>5363997.3367968984</v>
      </c>
    </row>
    <row r="35" spans="1:6" x14ac:dyDescent="0.3">
      <c r="A35">
        <v>32</v>
      </c>
      <c r="B35" s="7">
        <f t="shared" si="4"/>
        <v>5363997.3367968984</v>
      </c>
      <c r="C35" s="7">
        <f t="shared" si="5"/>
        <v>31289.984464648576</v>
      </c>
      <c r="D35" s="7">
        <f t="shared" si="1"/>
        <v>7582.8713854814669</v>
      </c>
      <c r="E35" s="7">
        <f t="shared" si="2"/>
        <v>38872.855850130043</v>
      </c>
      <c r="F35" s="7">
        <f t="shared" si="3"/>
        <v>5356414.4654114172</v>
      </c>
    </row>
    <row r="36" spans="1:6" x14ac:dyDescent="0.3">
      <c r="A36">
        <v>33</v>
      </c>
      <c r="B36" s="7">
        <f t="shared" si="4"/>
        <v>5356414.4654114172</v>
      </c>
      <c r="C36" s="7">
        <f t="shared" si="5"/>
        <v>31245.751048233269</v>
      </c>
      <c r="D36" s="7">
        <f t="shared" ref="D36:D63" si="6">IF(A36&lt;=H$2,0,MIN(B36,IF(D$2=0,J$2,J$2-B36*D$2/12)))</f>
        <v>7627.104801896774</v>
      </c>
      <c r="E36" s="7">
        <f t="shared" ref="E36:E67" si="7">C36+D36</f>
        <v>38872.855850130043</v>
      </c>
      <c r="F36" s="7">
        <f t="shared" ref="F36:F63" si="8">B36-D36</f>
        <v>5348787.3606095202</v>
      </c>
    </row>
    <row r="37" spans="1:6" x14ac:dyDescent="0.3">
      <c r="A37">
        <v>34</v>
      </c>
      <c r="B37" s="7">
        <f t="shared" ref="B37:B63" si="9">F36</f>
        <v>5348787.3606095202</v>
      </c>
      <c r="C37" s="7">
        <f t="shared" si="5"/>
        <v>31201.259603555536</v>
      </c>
      <c r="D37" s="7">
        <f t="shared" si="6"/>
        <v>7671.5962465745069</v>
      </c>
      <c r="E37" s="7">
        <f t="shared" si="7"/>
        <v>38872.855850130043</v>
      </c>
      <c r="F37" s="7">
        <f t="shared" si="8"/>
        <v>5341115.7643629462</v>
      </c>
    </row>
    <row r="38" spans="1:6" x14ac:dyDescent="0.3">
      <c r="A38">
        <v>35</v>
      </c>
      <c r="B38" s="7">
        <f t="shared" si="9"/>
        <v>5341115.7643629462</v>
      </c>
      <c r="C38" s="7">
        <f t="shared" si="5"/>
        <v>31156.508625450519</v>
      </c>
      <c r="D38" s="7">
        <f t="shared" si="6"/>
        <v>7716.3472246795245</v>
      </c>
      <c r="E38" s="7">
        <f t="shared" si="7"/>
        <v>38872.855850130043</v>
      </c>
      <c r="F38" s="7">
        <f t="shared" si="8"/>
        <v>5333399.4171382664</v>
      </c>
    </row>
    <row r="39" spans="1:6" x14ac:dyDescent="0.3">
      <c r="A39">
        <v>36</v>
      </c>
      <c r="B39" s="7">
        <f t="shared" si="9"/>
        <v>5333399.4171382664</v>
      </c>
      <c r="C39" s="7">
        <f t="shared" si="5"/>
        <v>31111.496599973223</v>
      </c>
      <c r="D39" s="7">
        <f t="shared" si="6"/>
        <v>7761.3592501568201</v>
      </c>
      <c r="E39" s="7">
        <f t="shared" si="7"/>
        <v>38872.855850130043</v>
      </c>
      <c r="F39" s="7">
        <f t="shared" si="8"/>
        <v>5325638.0578881092</v>
      </c>
    </row>
    <row r="40" spans="1:6" x14ac:dyDescent="0.3">
      <c r="A40">
        <v>37</v>
      </c>
      <c r="B40" s="7">
        <f t="shared" si="9"/>
        <v>5325638.0578881092</v>
      </c>
      <c r="C40" s="7">
        <f t="shared" si="5"/>
        <v>31066.222004347306</v>
      </c>
      <c r="D40" s="7">
        <f t="shared" si="6"/>
        <v>7806.6338457827369</v>
      </c>
      <c r="E40" s="7">
        <f t="shared" si="7"/>
        <v>38872.855850130043</v>
      </c>
      <c r="F40" s="7">
        <f t="shared" si="8"/>
        <v>5317831.4240423264</v>
      </c>
    </row>
    <row r="41" spans="1:6" x14ac:dyDescent="0.3">
      <c r="A41">
        <v>38</v>
      </c>
      <c r="B41" s="7">
        <f t="shared" si="9"/>
        <v>5317831.4240423264</v>
      </c>
      <c r="C41" s="7">
        <f t="shared" si="5"/>
        <v>31020.683306913576</v>
      </c>
      <c r="D41" s="7">
        <f t="shared" si="6"/>
        <v>7852.1725432164676</v>
      </c>
      <c r="E41" s="7">
        <f t="shared" si="7"/>
        <v>38872.855850130043</v>
      </c>
      <c r="F41" s="7">
        <f t="shared" si="8"/>
        <v>5309979.2514991099</v>
      </c>
    </row>
    <row r="42" spans="1:6" x14ac:dyDescent="0.3">
      <c r="A42">
        <v>39</v>
      </c>
      <c r="B42" s="7">
        <f t="shared" si="9"/>
        <v>5309979.2514991099</v>
      </c>
      <c r="C42" s="7">
        <f t="shared" si="5"/>
        <v>30974.878967078144</v>
      </c>
      <c r="D42" s="7">
        <f t="shared" si="6"/>
        <v>7897.9768830518988</v>
      </c>
      <c r="E42" s="7">
        <f t="shared" si="7"/>
        <v>38872.855850130043</v>
      </c>
      <c r="F42" s="7">
        <f t="shared" si="8"/>
        <v>5302081.274616058</v>
      </c>
    </row>
    <row r="43" spans="1:6" x14ac:dyDescent="0.3">
      <c r="A43">
        <v>40</v>
      </c>
      <c r="B43" s="7">
        <f t="shared" si="9"/>
        <v>5302081.274616058</v>
      </c>
      <c r="C43" s="7">
        <f t="shared" si="5"/>
        <v>30928.807435260343</v>
      </c>
      <c r="D43" s="7">
        <f t="shared" si="6"/>
        <v>7944.0484148696996</v>
      </c>
      <c r="E43" s="7">
        <f t="shared" si="7"/>
        <v>38872.855850130043</v>
      </c>
      <c r="F43" s="7">
        <f t="shared" si="8"/>
        <v>5294137.2262011878</v>
      </c>
    </row>
    <row r="44" spans="1:6" x14ac:dyDescent="0.3">
      <c r="A44">
        <v>41</v>
      </c>
      <c r="B44" s="7">
        <f t="shared" si="9"/>
        <v>5294137.2262011878</v>
      </c>
      <c r="C44" s="7">
        <f t="shared" si="5"/>
        <v>30882.467152840265</v>
      </c>
      <c r="D44" s="7">
        <f t="shared" si="6"/>
        <v>7990.3886972897781</v>
      </c>
      <c r="E44" s="7">
        <f t="shared" si="7"/>
        <v>38872.855850130043</v>
      </c>
      <c r="F44" s="7">
        <f t="shared" si="8"/>
        <v>5286146.837503898</v>
      </c>
    </row>
    <row r="45" spans="1:6" x14ac:dyDescent="0.3">
      <c r="A45">
        <v>42</v>
      </c>
      <c r="B45" s="7">
        <f t="shared" si="9"/>
        <v>5286146.837503898</v>
      </c>
      <c r="C45" s="7">
        <f t="shared" si="5"/>
        <v>30835.856552106077</v>
      </c>
      <c r="D45" s="7">
        <f t="shared" si="6"/>
        <v>8036.9992980239658</v>
      </c>
      <c r="E45" s="7">
        <f t="shared" si="7"/>
        <v>38872.855850130043</v>
      </c>
      <c r="F45" s="7">
        <f t="shared" si="8"/>
        <v>5278109.838205874</v>
      </c>
    </row>
    <row r="46" spans="1:6" x14ac:dyDescent="0.3">
      <c r="A46">
        <v>43</v>
      </c>
      <c r="B46" s="7">
        <f t="shared" si="9"/>
        <v>5278109.838205874</v>
      </c>
      <c r="C46" s="7">
        <f t="shared" si="5"/>
        <v>30788.974056200936</v>
      </c>
      <c r="D46" s="7">
        <f t="shared" si="6"/>
        <v>8083.8817939291075</v>
      </c>
      <c r="E46" s="7">
        <f t="shared" si="7"/>
        <v>38872.855850130043</v>
      </c>
      <c r="F46" s="7">
        <f t="shared" si="8"/>
        <v>5270025.9564119447</v>
      </c>
    </row>
    <row r="47" spans="1:6" x14ac:dyDescent="0.3">
      <c r="A47">
        <v>44</v>
      </c>
      <c r="B47" s="7">
        <f t="shared" si="9"/>
        <v>5270025.9564119447</v>
      </c>
      <c r="C47" s="7">
        <f t="shared" si="5"/>
        <v>30741.818079069679</v>
      </c>
      <c r="D47" s="7">
        <f t="shared" si="6"/>
        <v>8131.0377710603643</v>
      </c>
      <c r="E47" s="7">
        <f t="shared" si="7"/>
        <v>38872.855850130043</v>
      </c>
      <c r="F47" s="7">
        <f t="shared" si="8"/>
        <v>5261894.9186408846</v>
      </c>
    </row>
    <row r="48" spans="1:6" x14ac:dyDescent="0.3">
      <c r="A48">
        <v>45</v>
      </c>
      <c r="B48" s="7">
        <f t="shared" si="9"/>
        <v>5261894.9186408846</v>
      </c>
      <c r="C48" s="7">
        <f t="shared" si="5"/>
        <v>30694.387025405162</v>
      </c>
      <c r="D48" s="7">
        <f t="shared" si="6"/>
        <v>8178.4688247248814</v>
      </c>
      <c r="E48" s="7">
        <f t="shared" si="7"/>
        <v>38872.855850130043</v>
      </c>
      <c r="F48" s="7">
        <f t="shared" si="8"/>
        <v>5253716.4498161599</v>
      </c>
    </row>
    <row r="49" spans="1:6" x14ac:dyDescent="0.3">
      <c r="A49">
        <v>46</v>
      </c>
      <c r="B49" s="7">
        <f t="shared" si="9"/>
        <v>5253716.4498161599</v>
      </c>
      <c r="C49" s="7">
        <f t="shared" si="5"/>
        <v>30646.679290594271</v>
      </c>
      <c r="D49" s="7">
        <f t="shared" si="6"/>
        <v>8226.176559535772</v>
      </c>
      <c r="E49" s="7">
        <f t="shared" si="7"/>
        <v>38872.855850130043</v>
      </c>
      <c r="F49" s="7">
        <f t="shared" si="8"/>
        <v>5245490.2732566241</v>
      </c>
    </row>
    <row r="50" spans="1:6" x14ac:dyDescent="0.3">
      <c r="A50">
        <v>47</v>
      </c>
      <c r="B50" s="7">
        <f t="shared" si="9"/>
        <v>5245490.2732566241</v>
      </c>
      <c r="C50" s="7">
        <f t="shared" si="5"/>
        <v>30598.693260663644</v>
      </c>
      <c r="D50" s="7">
        <f t="shared" si="6"/>
        <v>8274.1625894663994</v>
      </c>
      <c r="E50" s="7">
        <f t="shared" si="7"/>
        <v>38872.855850130043</v>
      </c>
      <c r="F50" s="7">
        <f t="shared" si="8"/>
        <v>5237216.1106671579</v>
      </c>
    </row>
    <row r="51" spans="1:6" x14ac:dyDescent="0.3">
      <c r="A51">
        <v>48</v>
      </c>
      <c r="B51" s="7">
        <f t="shared" si="9"/>
        <v>5237216.1106671579</v>
      </c>
      <c r="C51" s="7">
        <f t="shared" si="5"/>
        <v>30550.427312225089</v>
      </c>
      <c r="D51" s="7">
        <f t="shared" si="6"/>
        <v>8322.4285379049543</v>
      </c>
      <c r="E51" s="7">
        <f t="shared" si="7"/>
        <v>38872.855850130043</v>
      </c>
      <c r="F51" s="7">
        <f t="shared" si="8"/>
        <v>5228893.6821292527</v>
      </c>
    </row>
    <row r="52" spans="1:6" x14ac:dyDescent="0.3">
      <c r="A52">
        <v>49</v>
      </c>
      <c r="B52" s="7">
        <f t="shared" si="9"/>
        <v>5228893.6821292527</v>
      </c>
      <c r="C52" s="7">
        <f t="shared" si="5"/>
        <v>30501.879812420641</v>
      </c>
      <c r="D52" s="7">
        <f t="shared" si="6"/>
        <v>8370.9760377094026</v>
      </c>
      <c r="E52" s="7">
        <f t="shared" si="7"/>
        <v>38872.855850130043</v>
      </c>
      <c r="F52" s="7">
        <f t="shared" si="8"/>
        <v>5220522.7060915437</v>
      </c>
    </row>
    <row r="53" spans="1:6" x14ac:dyDescent="0.3">
      <c r="A53">
        <v>50</v>
      </c>
      <c r="B53" s="7">
        <f t="shared" si="9"/>
        <v>5220522.7060915437</v>
      </c>
      <c r="C53" s="7">
        <f t="shared" si="5"/>
        <v>30453.049118867344</v>
      </c>
      <c r="D53" s="7">
        <f t="shared" si="6"/>
        <v>8419.806731262699</v>
      </c>
      <c r="E53" s="7">
        <f t="shared" si="7"/>
        <v>38872.855850130043</v>
      </c>
      <c r="F53" s="7">
        <f t="shared" si="8"/>
        <v>5212102.8993602814</v>
      </c>
    </row>
    <row r="54" spans="1:6" x14ac:dyDescent="0.3">
      <c r="A54">
        <v>51</v>
      </c>
      <c r="B54" s="7">
        <f t="shared" si="9"/>
        <v>5212102.8993602814</v>
      </c>
      <c r="C54" s="7">
        <f t="shared" si="5"/>
        <v>30403.933579601642</v>
      </c>
      <c r="D54" s="7">
        <f t="shared" si="6"/>
        <v>8468.922270528401</v>
      </c>
      <c r="E54" s="7">
        <f t="shared" si="7"/>
        <v>38872.855850130043</v>
      </c>
      <c r="F54" s="7">
        <f t="shared" si="8"/>
        <v>5203633.9770897534</v>
      </c>
    </row>
    <row r="55" spans="1:6" x14ac:dyDescent="0.3">
      <c r="A55">
        <v>52</v>
      </c>
      <c r="B55" s="7">
        <f t="shared" si="9"/>
        <v>5203633.9770897534</v>
      </c>
      <c r="C55" s="7">
        <f t="shared" si="5"/>
        <v>30354.531533023564</v>
      </c>
      <c r="D55" s="7">
        <f t="shared" si="6"/>
        <v>8518.3243171064787</v>
      </c>
      <c r="E55" s="7">
        <f t="shared" si="7"/>
        <v>38872.855850130043</v>
      </c>
      <c r="F55" s="7">
        <f t="shared" si="8"/>
        <v>5195115.6527726473</v>
      </c>
    </row>
    <row r="56" spans="1:6" x14ac:dyDescent="0.3">
      <c r="A56">
        <v>53</v>
      </c>
      <c r="B56" s="7">
        <f t="shared" si="9"/>
        <v>5195115.6527726473</v>
      </c>
      <c r="C56" s="7">
        <f t="shared" si="5"/>
        <v>30304.841307840445</v>
      </c>
      <c r="D56" s="7">
        <f t="shared" si="6"/>
        <v>8568.0145422895985</v>
      </c>
      <c r="E56" s="7">
        <f t="shared" si="7"/>
        <v>38872.855850130043</v>
      </c>
      <c r="F56" s="7">
        <f t="shared" si="8"/>
        <v>5186547.6382303573</v>
      </c>
    </row>
    <row r="57" spans="1:6" x14ac:dyDescent="0.3">
      <c r="A57">
        <v>54</v>
      </c>
      <c r="B57" s="7">
        <f t="shared" si="9"/>
        <v>5186547.6382303573</v>
      </c>
      <c r="C57" s="7">
        <f t="shared" si="5"/>
        <v>30254.861223010419</v>
      </c>
      <c r="D57" s="7">
        <f t="shared" si="6"/>
        <v>8617.9946271196241</v>
      </c>
      <c r="E57" s="7">
        <f t="shared" si="7"/>
        <v>38872.855850130043</v>
      </c>
      <c r="F57" s="7">
        <f t="shared" si="8"/>
        <v>5177929.6436032373</v>
      </c>
    </row>
    <row r="58" spans="1:6" x14ac:dyDescent="0.3">
      <c r="A58">
        <v>55</v>
      </c>
      <c r="B58" s="7">
        <f t="shared" si="9"/>
        <v>5177929.6436032373</v>
      </c>
      <c r="C58" s="7">
        <f t="shared" si="5"/>
        <v>30204.589587685554</v>
      </c>
      <c r="D58" s="7">
        <f t="shared" si="6"/>
        <v>8668.2662624444893</v>
      </c>
      <c r="E58" s="7">
        <f t="shared" si="7"/>
        <v>38872.855850130043</v>
      </c>
      <c r="F58" s="7">
        <f t="shared" si="8"/>
        <v>5169261.3773407927</v>
      </c>
    </row>
    <row r="59" spans="1:6" x14ac:dyDescent="0.3">
      <c r="A59">
        <v>56</v>
      </c>
      <c r="B59" s="7">
        <f t="shared" si="9"/>
        <v>5169261.3773407927</v>
      </c>
      <c r="C59" s="7">
        <f t="shared" si="5"/>
        <v>30154.024701154627</v>
      </c>
      <c r="D59" s="7">
        <f t="shared" si="6"/>
        <v>8718.831148975416</v>
      </c>
      <c r="E59" s="7">
        <f t="shared" si="7"/>
        <v>38872.855850130043</v>
      </c>
      <c r="F59" s="7">
        <f t="shared" si="8"/>
        <v>5160542.5461918171</v>
      </c>
    </row>
    <row r="60" spans="1:6" x14ac:dyDescent="0.3">
      <c r="A60">
        <v>57</v>
      </c>
      <c r="B60" s="7">
        <f t="shared" si="9"/>
        <v>5160542.5461918171</v>
      </c>
      <c r="C60" s="7">
        <f t="shared" si="5"/>
        <v>30103.164852785601</v>
      </c>
      <c r="D60" s="7">
        <f t="shared" si="6"/>
        <v>8769.6909973444417</v>
      </c>
      <c r="E60" s="7">
        <f t="shared" si="7"/>
        <v>38872.855850130043</v>
      </c>
      <c r="F60" s="7">
        <f t="shared" si="8"/>
        <v>5151772.8551944727</v>
      </c>
    </row>
    <row r="61" spans="1:6" x14ac:dyDescent="0.3">
      <c r="A61">
        <v>58</v>
      </c>
      <c r="B61" s="7">
        <f t="shared" si="9"/>
        <v>5151772.8551944727</v>
      </c>
      <c r="C61" s="7">
        <f t="shared" si="5"/>
        <v>30052.008321967762</v>
      </c>
      <c r="D61" s="7">
        <f t="shared" si="6"/>
        <v>8820.8475281622814</v>
      </c>
      <c r="E61" s="7">
        <f t="shared" si="7"/>
        <v>38872.855850130043</v>
      </c>
      <c r="F61" s="7">
        <f t="shared" si="8"/>
        <v>5142952.0076663103</v>
      </c>
    </row>
    <row r="62" spans="1:6" x14ac:dyDescent="0.3">
      <c r="A62">
        <v>59</v>
      </c>
      <c r="B62" s="7">
        <f t="shared" si="9"/>
        <v>5142952.0076663103</v>
      </c>
      <c r="C62" s="7">
        <f t="shared" si="5"/>
        <v>30000.553378053479</v>
      </c>
      <c r="D62" s="7">
        <f t="shared" si="6"/>
        <v>8872.3024720765643</v>
      </c>
      <c r="E62" s="7">
        <f t="shared" si="7"/>
        <v>38872.855850130043</v>
      </c>
      <c r="F62" s="7">
        <f t="shared" si="8"/>
        <v>5134079.7051942339</v>
      </c>
    </row>
    <row r="63" spans="1:6" x14ac:dyDescent="0.3">
      <c r="A63">
        <v>60</v>
      </c>
      <c r="B63" s="7">
        <f t="shared" si="9"/>
        <v>5134079.7051942339</v>
      </c>
      <c r="C63" s="7">
        <f t="shared" si="5"/>
        <v>29948.798280299699</v>
      </c>
      <c r="D63" s="7">
        <f t="shared" si="6"/>
        <v>8924.0575698303437</v>
      </c>
      <c r="E63" s="7">
        <f t="shared" si="7"/>
        <v>38872.855850130043</v>
      </c>
      <c r="F63" s="7">
        <f t="shared" si="8"/>
        <v>5125155.6476244032</v>
      </c>
    </row>
    <row r="64" spans="1:6" x14ac:dyDescent="0.3">
      <c r="A64" s="1" t="s">
        <v>171</v>
      </c>
      <c r="B64" s="1" t="s">
        <v>167</v>
      </c>
      <c r="C64" s="1" t="s">
        <v>168</v>
      </c>
      <c r="D64" s="1" t="s">
        <v>172</v>
      </c>
      <c r="E64" s="1" t="s">
        <v>170</v>
      </c>
    </row>
    <row r="65" spans="1:10" x14ac:dyDescent="0.3">
      <c r="A65" t="s">
        <v>24</v>
      </c>
      <c r="B65" s="7">
        <f>SUM(C4:C15)</f>
        <v>385000</v>
      </c>
      <c r="C65" s="7">
        <f>SUM(D4:D15)</f>
        <v>0</v>
      </c>
      <c r="D65" s="7">
        <f>B65+C65</f>
        <v>385000</v>
      </c>
      <c r="E65" s="7">
        <f>F15</f>
        <v>5500000</v>
      </c>
    </row>
    <row r="66" spans="1:10" x14ac:dyDescent="0.3">
      <c r="A66" t="s">
        <v>25</v>
      </c>
      <c r="B66" s="7">
        <f>SUM(C16:C27)</f>
        <v>382334.53333622339</v>
      </c>
      <c r="C66" s="7">
        <f>SUM(D16:D27)</f>
        <v>84139.736865337065</v>
      </c>
      <c r="D66" s="7">
        <f>B66+C66</f>
        <v>466474.27020156046</v>
      </c>
      <c r="E66" s="7">
        <f>F27</f>
        <v>5415860.2631346639</v>
      </c>
    </row>
    <row r="67" spans="1:10" x14ac:dyDescent="0.3">
      <c r="A67" t="s">
        <v>26</v>
      </c>
      <c r="B67" s="7">
        <f>SUM(C28:C39)</f>
        <v>376252.06495500589</v>
      </c>
      <c r="C67" s="7">
        <f>SUM(D28:D39)</f>
        <v>90222.205246554688</v>
      </c>
      <c r="D67" s="7">
        <f>B67+C67</f>
        <v>466474.27020156058</v>
      </c>
      <c r="E67" s="7">
        <f>F39</f>
        <v>5325638.0578881092</v>
      </c>
    </row>
    <row r="68" spans="1:10" x14ac:dyDescent="0.3">
      <c r="A68" t="s">
        <v>27</v>
      </c>
      <c r="B68" s="7">
        <f>SUM(C40:C51)</f>
        <v>369729.89444270451</v>
      </c>
      <c r="C68" s="7">
        <f>SUM(D40:D51)</f>
        <v>96744.375758856026</v>
      </c>
      <c r="D68" s="7">
        <f>B68+C68</f>
        <v>466474.27020156052</v>
      </c>
      <c r="E68" s="7">
        <f>F51</f>
        <v>5228893.6821292527</v>
      </c>
    </row>
    <row r="69" spans="1:10" x14ac:dyDescent="0.3">
      <c r="A69" t="s">
        <v>28</v>
      </c>
      <c r="B69" s="7">
        <f>SUM(C52:C63)</f>
        <v>362736.23569671082</v>
      </c>
      <c r="C69" s="7">
        <f>SUM(D52:D63)</f>
        <v>103738.03450484974</v>
      </c>
      <c r="D69" s="7">
        <f>B69+C69</f>
        <v>466474.27020156058</v>
      </c>
      <c r="E69" s="7">
        <f>F63</f>
        <v>5125155.6476244032</v>
      </c>
    </row>
    <row r="71" spans="1:10" x14ac:dyDescent="0.3">
      <c r="A71" s="2" t="s">
        <v>153</v>
      </c>
    </row>
    <row r="72" spans="1:10" x14ac:dyDescent="0.3">
      <c r="A72" t="s">
        <v>135</v>
      </c>
      <c r="B72" s="7">
        <f>Investissement!B15</f>
        <v>500000</v>
      </c>
      <c r="C72" t="s">
        <v>148</v>
      </c>
      <c r="D72" s="8">
        <f>Investissement!C15</f>
        <v>0</v>
      </c>
      <c r="E72" t="s">
        <v>163</v>
      </c>
      <c r="F72">
        <f>Investissement!D15</f>
        <v>7</v>
      </c>
      <c r="G72" t="s">
        <v>150</v>
      </c>
      <c r="H72">
        <f>Investissement!E15</f>
        <v>24</v>
      </c>
      <c r="I72" t="s">
        <v>164</v>
      </c>
      <c r="J72" s="7">
        <f>IF(D72=0,B72/(F72*12),PMT(D72/12,F72*12,-B72))</f>
        <v>5952.3809523809523</v>
      </c>
    </row>
    <row r="73" spans="1:10" x14ac:dyDescent="0.3">
      <c r="A73" s="1" t="s">
        <v>165</v>
      </c>
      <c r="B73" s="1" t="s">
        <v>166</v>
      </c>
      <c r="C73" s="1" t="s">
        <v>167</v>
      </c>
      <c r="D73" s="1" t="s">
        <v>168</v>
      </c>
      <c r="E73" s="1" t="s">
        <v>169</v>
      </c>
      <c r="F73" s="1" t="s">
        <v>170</v>
      </c>
    </row>
    <row r="74" spans="1:10" x14ac:dyDescent="0.3">
      <c r="A74">
        <v>1</v>
      </c>
      <c r="B74" s="7">
        <f>B72</f>
        <v>500000</v>
      </c>
      <c r="C74" s="7">
        <f t="shared" ref="C74:C105" si="10">B74*D$72/12</f>
        <v>0</v>
      </c>
      <c r="D74" s="7">
        <f t="shared" ref="D74:D105" si="11">IF(A74&lt;=H$72,0,MIN(B74,IF(D$72=0,J$72,J$72-B74*D$72/12)))</f>
        <v>0</v>
      </c>
      <c r="E74" s="7">
        <f t="shared" ref="E74:E105" si="12">C74+D74</f>
        <v>0</v>
      </c>
      <c r="F74" s="7">
        <f t="shared" ref="F74:F105" si="13">B74-D74</f>
        <v>500000</v>
      </c>
    </row>
    <row r="75" spans="1:10" x14ac:dyDescent="0.3">
      <c r="A75">
        <v>2</v>
      </c>
      <c r="B75" s="7">
        <f t="shared" ref="B75:B106" si="14">F74</f>
        <v>500000</v>
      </c>
      <c r="C75" s="7">
        <f t="shared" si="10"/>
        <v>0</v>
      </c>
      <c r="D75" s="7">
        <f t="shared" si="11"/>
        <v>0</v>
      </c>
      <c r="E75" s="7">
        <f t="shared" si="12"/>
        <v>0</v>
      </c>
      <c r="F75" s="7">
        <f t="shared" si="13"/>
        <v>500000</v>
      </c>
    </row>
    <row r="76" spans="1:10" x14ac:dyDescent="0.3">
      <c r="A76">
        <v>3</v>
      </c>
      <c r="B76" s="7">
        <f t="shared" si="14"/>
        <v>500000</v>
      </c>
      <c r="C76" s="7">
        <f t="shared" si="10"/>
        <v>0</v>
      </c>
      <c r="D76" s="7">
        <f t="shared" si="11"/>
        <v>0</v>
      </c>
      <c r="E76" s="7">
        <f t="shared" si="12"/>
        <v>0</v>
      </c>
      <c r="F76" s="7">
        <f t="shared" si="13"/>
        <v>500000</v>
      </c>
    </row>
    <row r="77" spans="1:10" x14ac:dyDescent="0.3">
      <c r="A77">
        <v>4</v>
      </c>
      <c r="B77" s="7">
        <f t="shared" si="14"/>
        <v>500000</v>
      </c>
      <c r="C77" s="7">
        <f t="shared" si="10"/>
        <v>0</v>
      </c>
      <c r="D77" s="7">
        <f t="shared" si="11"/>
        <v>0</v>
      </c>
      <c r="E77" s="7">
        <f t="shared" si="12"/>
        <v>0</v>
      </c>
      <c r="F77" s="7">
        <f t="shared" si="13"/>
        <v>500000</v>
      </c>
    </row>
    <row r="78" spans="1:10" x14ac:dyDescent="0.3">
      <c r="A78">
        <v>5</v>
      </c>
      <c r="B78" s="7">
        <f t="shared" si="14"/>
        <v>500000</v>
      </c>
      <c r="C78" s="7">
        <f t="shared" si="10"/>
        <v>0</v>
      </c>
      <c r="D78" s="7">
        <f t="shared" si="11"/>
        <v>0</v>
      </c>
      <c r="E78" s="7">
        <f t="shared" si="12"/>
        <v>0</v>
      </c>
      <c r="F78" s="7">
        <f t="shared" si="13"/>
        <v>500000</v>
      </c>
    </row>
    <row r="79" spans="1:10" x14ac:dyDescent="0.3">
      <c r="A79">
        <v>6</v>
      </c>
      <c r="B79" s="7">
        <f t="shared" si="14"/>
        <v>500000</v>
      </c>
      <c r="C79" s="7">
        <f t="shared" si="10"/>
        <v>0</v>
      </c>
      <c r="D79" s="7">
        <f t="shared" si="11"/>
        <v>0</v>
      </c>
      <c r="E79" s="7">
        <f t="shared" si="12"/>
        <v>0</v>
      </c>
      <c r="F79" s="7">
        <f t="shared" si="13"/>
        <v>500000</v>
      </c>
    </row>
    <row r="80" spans="1:10" x14ac:dyDescent="0.3">
      <c r="A80">
        <v>7</v>
      </c>
      <c r="B80" s="7">
        <f t="shared" si="14"/>
        <v>500000</v>
      </c>
      <c r="C80" s="7">
        <f t="shared" si="10"/>
        <v>0</v>
      </c>
      <c r="D80" s="7">
        <f t="shared" si="11"/>
        <v>0</v>
      </c>
      <c r="E80" s="7">
        <f t="shared" si="12"/>
        <v>0</v>
      </c>
      <c r="F80" s="7">
        <f t="shared" si="13"/>
        <v>500000</v>
      </c>
    </row>
    <row r="81" spans="1:6" x14ac:dyDescent="0.3">
      <c r="A81">
        <v>8</v>
      </c>
      <c r="B81" s="7">
        <f t="shared" si="14"/>
        <v>500000</v>
      </c>
      <c r="C81" s="7">
        <f t="shared" si="10"/>
        <v>0</v>
      </c>
      <c r="D81" s="7">
        <f t="shared" si="11"/>
        <v>0</v>
      </c>
      <c r="E81" s="7">
        <f t="shared" si="12"/>
        <v>0</v>
      </c>
      <c r="F81" s="7">
        <f t="shared" si="13"/>
        <v>500000</v>
      </c>
    </row>
    <row r="82" spans="1:6" x14ac:dyDescent="0.3">
      <c r="A82">
        <v>9</v>
      </c>
      <c r="B82" s="7">
        <f t="shared" si="14"/>
        <v>500000</v>
      </c>
      <c r="C82" s="7">
        <f t="shared" si="10"/>
        <v>0</v>
      </c>
      <c r="D82" s="7">
        <f t="shared" si="11"/>
        <v>0</v>
      </c>
      <c r="E82" s="7">
        <f t="shared" si="12"/>
        <v>0</v>
      </c>
      <c r="F82" s="7">
        <f t="shared" si="13"/>
        <v>500000</v>
      </c>
    </row>
    <row r="83" spans="1:6" x14ac:dyDescent="0.3">
      <c r="A83">
        <v>10</v>
      </c>
      <c r="B83" s="7">
        <f t="shared" si="14"/>
        <v>500000</v>
      </c>
      <c r="C83" s="7">
        <f t="shared" si="10"/>
        <v>0</v>
      </c>
      <c r="D83" s="7">
        <f t="shared" si="11"/>
        <v>0</v>
      </c>
      <c r="E83" s="7">
        <f t="shared" si="12"/>
        <v>0</v>
      </c>
      <c r="F83" s="7">
        <f t="shared" si="13"/>
        <v>500000</v>
      </c>
    </row>
    <row r="84" spans="1:6" x14ac:dyDescent="0.3">
      <c r="A84">
        <v>11</v>
      </c>
      <c r="B84" s="7">
        <f t="shared" si="14"/>
        <v>500000</v>
      </c>
      <c r="C84" s="7">
        <f t="shared" si="10"/>
        <v>0</v>
      </c>
      <c r="D84" s="7">
        <f t="shared" si="11"/>
        <v>0</v>
      </c>
      <c r="E84" s="7">
        <f t="shared" si="12"/>
        <v>0</v>
      </c>
      <c r="F84" s="7">
        <f t="shared" si="13"/>
        <v>500000</v>
      </c>
    </row>
    <row r="85" spans="1:6" x14ac:dyDescent="0.3">
      <c r="A85">
        <v>12</v>
      </c>
      <c r="B85" s="7">
        <f t="shared" si="14"/>
        <v>500000</v>
      </c>
      <c r="C85" s="7">
        <f t="shared" si="10"/>
        <v>0</v>
      </c>
      <c r="D85" s="7">
        <f t="shared" si="11"/>
        <v>0</v>
      </c>
      <c r="E85" s="7">
        <f t="shared" si="12"/>
        <v>0</v>
      </c>
      <c r="F85" s="7">
        <f t="shared" si="13"/>
        <v>500000</v>
      </c>
    </row>
    <row r="86" spans="1:6" x14ac:dyDescent="0.3">
      <c r="A86">
        <v>13</v>
      </c>
      <c r="B86" s="7">
        <f t="shared" si="14"/>
        <v>500000</v>
      </c>
      <c r="C86" s="7">
        <f t="shared" si="10"/>
        <v>0</v>
      </c>
      <c r="D86" s="7">
        <f t="shared" si="11"/>
        <v>0</v>
      </c>
      <c r="E86" s="7">
        <f t="shared" si="12"/>
        <v>0</v>
      </c>
      <c r="F86" s="7">
        <f t="shared" si="13"/>
        <v>500000</v>
      </c>
    </row>
    <row r="87" spans="1:6" x14ac:dyDescent="0.3">
      <c r="A87">
        <v>14</v>
      </c>
      <c r="B87" s="7">
        <f t="shared" si="14"/>
        <v>500000</v>
      </c>
      <c r="C87" s="7">
        <f t="shared" si="10"/>
        <v>0</v>
      </c>
      <c r="D87" s="7">
        <f t="shared" si="11"/>
        <v>0</v>
      </c>
      <c r="E87" s="7">
        <f t="shared" si="12"/>
        <v>0</v>
      </c>
      <c r="F87" s="7">
        <f t="shared" si="13"/>
        <v>500000</v>
      </c>
    </row>
    <row r="88" spans="1:6" x14ac:dyDescent="0.3">
      <c r="A88">
        <v>15</v>
      </c>
      <c r="B88" s="7">
        <f t="shared" si="14"/>
        <v>500000</v>
      </c>
      <c r="C88" s="7">
        <f t="shared" si="10"/>
        <v>0</v>
      </c>
      <c r="D88" s="7">
        <f t="shared" si="11"/>
        <v>0</v>
      </c>
      <c r="E88" s="7">
        <f t="shared" si="12"/>
        <v>0</v>
      </c>
      <c r="F88" s="7">
        <f t="shared" si="13"/>
        <v>500000</v>
      </c>
    </row>
    <row r="89" spans="1:6" x14ac:dyDescent="0.3">
      <c r="A89">
        <v>16</v>
      </c>
      <c r="B89" s="7">
        <f t="shared" si="14"/>
        <v>500000</v>
      </c>
      <c r="C89" s="7">
        <f t="shared" si="10"/>
        <v>0</v>
      </c>
      <c r="D89" s="7">
        <f t="shared" si="11"/>
        <v>0</v>
      </c>
      <c r="E89" s="7">
        <f t="shared" si="12"/>
        <v>0</v>
      </c>
      <c r="F89" s="7">
        <f t="shared" si="13"/>
        <v>500000</v>
      </c>
    </row>
    <row r="90" spans="1:6" x14ac:dyDescent="0.3">
      <c r="A90">
        <v>17</v>
      </c>
      <c r="B90" s="7">
        <f t="shared" si="14"/>
        <v>500000</v>
      </c>
      <c r="C90" s="7">
        <f t="shared" si="10"/>
        <v>0</v>
      </c>
      <c r="D90" s="7">
        <f t="shared" si="11"/>
        <v>0</v>
      </c>
      <c r="E90" s="7">
        <f t="shared" si="12"/>
        <v>0</v>
      </c>
      <c r="F90" s="7">
        <f t="shared" si="13"/>
        <v>500000</v>
      </c>
    </row>
    <row r="91" spans="1:6" x14ac:dyDescent="0.3">
      <c r="A91">
        <v>18</v>
      </c>
      <c r="B91" s="7">
        <f t="shared" si="14"/>
        <v>500000</v>
      </c>
      <c r="C91" s="7">
        <f t="shared" si="10"/>
        <v>0</v>
      </c>
      <c r="D91" s="7">
        <f t="shared" si="11"/>
        <v>0</v>
      </c>
      <c r="E91" s="7">
        <f t="shared" si="12"/>
        <v>0</v>
      </c>
      <c r="F91" s="7">
        <f t="shared" si="13"/>
        <v>500000</v>
      </c>
    </row>
    <row r="92" spans="1:6" x14ac:dyDescent="0.3">
      <c r="A92">
        <v>19</v>
      </c>
      <c r="B92" s="7">
        <f t="shared" si="14"/>
        <v>500000</v>
      </c>
      <c r="C92" s="7">
        <f t="shared" si="10"/>
        <v>0</v>
      </c>
      <c r="D92" s="7">
        <f t="shared" si="11"/>
        <v>0</v>
      </c>
      <c r="E92" s="7">
        <f t="shared" si="12"/>
        <v>0</v>
      </c>
      <c r="F92" s="7">
        <f t="shared" si="13"/>
        <v>500000</v>
      </c>
    </row>
    <row r="93" spans="1:6" x14ac:dyDescent="0.3">
      <c r="A93">
        <v>20</v>
      </c>
      <c r="B93" s="7">
        <f t="shared" si="14"/>
        <v>500000</v>
      </c>
      <c r="C93" s="7">
        <f t="shared" si="10"/>
        <v>0</v>
      </c>
      <c r="D93" s="7">
        <f t="shared" si="11"/>
        <v>0</v>
      </c>
      <c r="E93" s="7">
        <f t="shared" si="12"/>
        <v>0</v>
      </c>
      <c r="F93" s="7">
        <f t="shared" si="13"/>
        <v>500000</v>
      </c>
    </row>
    <row r="94" spans="1:6" x14ac:dyDescent="0.3">
      <c r="A94">
        <v>21</v>
      </c>
      <c r="B94" s="7">
        <f t="shared" si="14"/>
        <v>500000</v>
      </c>
      <c r="C94" s="7">
        <f t="shared" si="10"/>
        <v>0</v>
      </c>
      <c r="D94" s="7">
        <f t="shared" si="11"/>
        <v>0</v>
      </c>
      <c r="E94" s="7">
        <f t="shared" si="12"/>
        <v>0</v>
      </c>
      <c r="F94" s="7">
        <f t="shared" si="13"/>
        <v>500000</v>
      </c>
    </row>
    <row r="95" spans="1:6" x14ac:dyDescent="0.3">
      <c r="A95">
        <v>22</v>
      </c>
      <c r="B95" s="7">
        <f t="shared" si="14"/>
        <v>500000</v>
      </c>
      <c r="C95" s="7">
        <f t="shared" si="10"/>
        <v>0</v>
      </c>
      <c r="D95" s="7">
        <f t="shared" si="11"/>
        <v>0</v>
      </c>
      <c r="E95" s="7">
        <f t="shared" si="12"/>
        <v>0</v>
      </c>
      <c r="F95" s="7">
        <f t="shared" si="13"/>
        <v>500000</v>
      </c>
    </row>
    <row r="96" spans="1:6" x14ac:dyDescent="0.3">
      <c r="A96">
        <v>23</v>
      </c>
      <c r="B96" s="7">
        <f t="shared" si="14"/>
        <v>500000</v>
      </c>
      <c r="C96" s="7">
        <f t="shared" si="10"/>
        <v>0</v>
      </c>
      <c r="D96" s="7">
        <f t="shared" si="11"/>
        <v>0</v>
      </c>
      <c r="E96" s="7">
        <f t="shared" si="12"/>
        <v>0</v>
      </c>
      <c r="F96" s="7">
        <f t="shared" si="13"/>
        <v>500000</v>
      </c>
    </row>
    <row r="97" spans="1:6" x14ac:dyDescent="0.3">
      <c r="A97">
        <v>24</v>
      </c>
      <c r="B97" s="7">
        <f t="shared" si="14"/>
        <v>500000</v>
      </c>
      <c r="C97" s="7">
        <f t="shared" si="10"/>
        <v>0</v>
      </c>
      <c r="D97" s="7">
        <f t="shared" si="11"/>
        <v>0</v>
      </c>
      <c r="E97" s="7">
        <f t="shared" si="12"/>
        <v>0</v>
      </c>
      <c r="F97" s="7">
        <f t="shared" si="13"/>
        <v>500000</v>
      </c>
    </row>
    <row r="98" spans="1:6" x14ac:dyDescent="0.3">
      <c r="A98">
        <v>25</v>
      </c>
      <c r="B98" s="7">
        <f t="shared" si="14"/>
        <v>500000</v>
      </c>
      <c r="C98" s="7">
        <f t="shared" si="10"/>
        <v>0</v>
      </c>
      <c r="D98" s="7">
        <f t="shared" si="11"/>
        <v>5952.3809523809523</v>
      </c>
      <c r="E98" s="7">
        <f t="shared" si="12"/>
        <v>5952.3809523809523</v>
      </c>
      <c r="F98" s="7">
        <f t="shared" si="13"/>
        <v>494047.61904761905</v>
      </c>
    </row>
    <row r="99" spans="1:6" x14ac:dyDescent="0.3">
      <c r="A99">
        <v>26</v>
      </c>
      <c r="B99" s="7">
        <f t="shared" si="14"/>
        <v>494047.61904761905</v>
      </c>
      <c r="C99" s="7">
        <f t="shared" si="10"/>
        <v>0</v>
      </c>
      <c r="D99" s="7">
        <f t="shared" si="11"/>
        <v>5952.3809523809523</v>
      </c>
      <c r="E99" s="7">
        <f t="shared" si="12"/>
        <v>5952.3809523809523</v>
      </c>
      <c r="F99" s="7">
        <f t="shared" si="13"/>
        <v>488095.23809523811</v>
      </c>
    </row>
    <row r="100" spans="1:6" x14ac:dyDescent="0.3">
      <c r="A100">
        <v>27</v>
      </c>
      <c r="B100" s="7">
        <f t="shared" si="14"/>
        <v>488095.23809523811</v>
      </c>
      <c r="C100" s="7">
        <f t="shared" si="10"/>
        <v>0</v>
      </c>
      <c r="D100" s="7">
        <f t="shared" si="11"/>
        <v>5952.3809523809523</v>
      </c>
      <c r="E100" s="7">
        <f t="shared" si="12"/>
        <v>5952.3809523809523</v>
      </c>
      <c r="F100" s="7">
        <f t="shared" si="13"/>
        <v>482142.85714285716</v>
      </c>
    </row>
    <row r="101" spans="1:6" x14ac:dyDescent="0.3">
      <c r="A101">
        <v>28</v>
      </c>
      <c r="B101" s="7">
        <f t="shared" si="14"/>
        <v>482142.85714285716</v>
      </c>
      <c r="C101" s="7">
        <f t="shared" si="10"/>
        <v>0</v>
      </c>
      <c r="D101" s="7">
        <f t="shared" si="11"/>
        <v>5952.3809523809523</v>
      </c>
      <c r="E101" s="7">
        <f t="shared" si="12"/>
        <v>5952.3809523809523</v>
      </c>
      <c r="F101" s="7">
        <f t="shared" si="13"/>
        <v>476190.47619047621</v>
      </c>
    </row>
    <row r="102" spans="1:6" x14ac:dyDescent="0.3">
      <c r="A102">
        <v>29</v>
      </c>
      <c r="B102" s="7">
        <f t="shared" si="14"/>
        <v>476190.47619047621</v>
      </c>
      <c r="C102" s="7">
        <f t="shared" si="10"/>
        <v>0</v>
      </c>
      <c r="D102" s="7">
        <f t="shared" si="11"/>
        <v>5952.3809523809523</v>
      </c>
      <c r="E102" s="7">
        <f t="shared" si="12"/>
        <v>5952.3809523809523</v>
      </c>
      <c r="F102" s="7">
        <f t="shared" si="13"/>
        <v>470238.09523809527</v>
      </c>
    </row>
    <row r="103" spans="1:6" x14ac:dyDescent="0.3">
      <c r="A103">
        <v>30</v>
      </c>
      <c r="B103" s="7">
        <f t="shared" si="14"/>
        <v>470238.09523809527</v>
      </c>
      <c r="C103" s="7">
        <f t="shared" si="10"/>
        <v>0</v>
      </c>
      <c r="D103" s="7">
        <f t="shared" si="11"/>
        <v>5952.3809523809523</v>
      </c>
      <c r="E103" s="7">
        <f t="shared" si="12"/>
        <v>5952.3809523809523</v>
      </c>
      <c r="F103" s="7">
        <f t="shared" si="13"/>
        <v>464285.71428571432</v>
      </c>
    </row>
    <row r="104" spans="1:6" x14ac:dyDescent="0.3">
      <c r="A104">
        <v>31</v>
      </c>
      <c r="B104" s="7">
        <f t="shared" si="14"/>
        <v>464285.71428571432</v>
      </c>
      <c r="C104" s="7">
        <f t="shared" si="10"/>
        <v>0</v>
      </c>
      <c r="D104" s="7">
        <f t="shared" si="11"/>
        <v>5952.3809523809523</v>
      </c>
      <c r="E104" s="7">
        <f t="shared" si="12"/>
        <v>5952.3809523809523</v>
      </c>
      <c r="F104" s="7">
        <f t="shared" si="13"/>
        <v>458333.33333333337</v>
      </c>
    </row>
    <row r="105" spans="1:6" x14ac:dyDescent="0.3">
      <c r="A105">
        <v>32</v>
      </c>
      <c r="B105" s="7">
        <f t="shared" si="14"/>
        <v>458333.33333333337</v>
      </c>
      <c r="C105" s="7">
        <f t="shared" si="10"/>
        <v>0</v>
      </c>
      <c r="D105" s="7">
        <f t="shared" si="11"/>
        <v>5952.3809523809523</v>
      </c>
      <c r="E105" s="7">
        <f t="shared" si="12"/>
        <v>5952.3809523809523</v>
      </c>
      <c r="F105" s="7">
        <f t="shared" si="13"/>
        <v>452380.95238095243</v>
      </c>
    </row>
    <row r="106" spans="1:6" x14ac:dyDescent="0.3">
      <c r="A106">
        <v>33</v>
      </c>
      <c r="B106" s="7">
        <f t="shared" si="14"/>
        <v>452380.95238095243</v>
      </c>
      <c r="C106" s="7">
        <f t="shared" ref="C106:C137" si="15">B106*D$72/12</f>
        <v>0</v>
      </c>
      <c r="D106" s="7">
        <f t="shared" ref="D106:D133" si="16">IF(A106&lt;=H$72,0,MIN(B106,IF(D$72=0,J$72,J$72-B106*D$72/12)))</f>
        <v>5952.3809523809523</v>
      </c>
      <c r="E106" s="7">
        <f t="shared" ref="E106:E137" si="17">C106+D106</f>
        <v>5952.3809523809523</v>
      </c>
      <c r="F106" s="7">
        <f t="shared" ref="F106:F133" si="18">B106-D106</f>
        <v>446428.57142857148</v>
      </c>
    </row>
    <row r="107" spans="1:6" x14ac:dyDescent="0.3">
      <c r="A107">
        <v>34</v>
      </c>
      <c r="B107" s="7">
        <f t="shared" ref="B107:B133" si="19">F106</f>
        <v>446428.57142857148</v>
      </c>
      <c r="C107" s="7">
        <f t="shared" si="15"/>
        <v>0</v>
      </c>
      <c r="D107" s="7">
        <f t="shared" si="16"/>
        <v>5952.3809523809523</v>
      </c>
      <c r="E107" s="7">
        <f t="shared" si="17"/>
        <v>5952.3809523809523</v>
      </c>
      <c r="F107" s="7">
        <f t="shared" si="18"/>
        <v>440476.19047619053</v>
      </c>
    </row>
    <row r="108" spans="1:6" x14ac:dyDescent="0.3">
      <c r="A108">
        <v>35</v>
      </c>
      <c r="B108" s="7">
        <f t="shared" si="19"/>
        <v>440476.19047619053</v>
      </c>
      <c r="C108" s="7">
        <f t="shared" si="15"/>
        <v>0</v>
      </c>
      <c r="D108" s="7">
        <f t="shared" si="16"/>
        <v>5952.3809523809523</v>
      </c>
      <c r="E108" s="7">
        <f t="shared" si="17"/>
        <v>5952.3809523809523</v>
      </c>
      <c r="F108" s="7">
        <f t="shared" si="18"/>
        <v>434523.80952380958</v>
      </c>
    </row>
    <row r="109" spans="1:6" x14ac:dyDescent="0.3">
      <c r="A109">
        <v>36</v>
      </c>
      <c r="B109" s="7">
        <f t="shared" si="19"/>
        <v>434523.80952380958</v>
      </c>
      <c r="C109" s="7">
        <f t="shared" si="15"/>
        <v>0</v>
      </c>
      <c r="D109" s="7">
        <f t="shared" si="16"/>
        <v>5952.3809523809523</v>
      </c>
      <c r="E109" s="7">
        <f t="shared" si="17"/>
        <v>5952.3809523809523</v>
      </c>
      <c r="F109" s="7">
        <f t="shared" si="18"/>
        <v>428571.42857142864</v>
      </c>
    </row>
    <row r="110" spans="1:6" x14ac:dyDescent="0.3">
      <c r="A110">
        <v>37</v>
      </c>
      <c r="B110" s="7">
        <f t="shared" si="19"/>
        <v>428571.42857142864</v>
      </c>
      <c r="C110" s="7">
        <f t="shared" si="15"/>
        <v>0</v>
      </c>
      <c r="D110" s="7">
        <f t="shared" si="16"/>
        <v>5952.3809523809523</v>
      </c>
      <c r="E110" s="7">
        <f t="shared" si="17"/>
        <v>5952.3809523809523</v>
      </c>
      <c r="F110" s="7">
        <f t="shared" si="18"/>
        <v>422619.04761904769</v>
      </c>
    </row>
    <row r="111" spans="1:6" x14ac:dyDescent="0.3">
      <c r="A111">
        <v>38</v>
      </c>
      <c r="B111" s="7">
        <f t="shared" si="19"/>
        <v>422619.04761904769</v>
      </c>
      <c r="C111" s="7">
        <f t="shared" si="15"/>
        <v>0</v>
      </c>
      <c r="D111" s="7">
        <f t="shared" si="16"/>
        <v>5952.3809523809523</v>
      </c>
      <c r="E111" s="7">
        <f t="shared" si="17"/>
        <v>5952.3809523809523</v>
      </c>
      <c r="F111" s="7">
        <f t="shared" si="18"/>
        <v>416666.66666666674</v>
      </c>
    </row>
    <row r="112" spans="1:6" x14ac:dyDescent="0.3">
      <c r="A112">
        <v>39</v>
      </c>
      <c r="B112" s="7">
        <f t="shared" si="19"/>
        <v>416666.66666666674</v>
      </c>
      <c r="C112" s="7">
        <f t="shared" si="15"/>
        <v>0</v>
      </c>
      <c r="D112" s="7">
        <f t="shared" si="16"/>
        <v>5952.3809523809523</v>
      </c>
      <c r="E112" s="7">
        <f t="shared" si="17"/>
        <v>5952.3809523809523</v>
      </c>
      <c r="F112" s="7">
        <f t="shared" si="18"/>
        <v>410714.2857142858</v>
      </c>
    </row>
    <row r="113" spans="1:6" x14ac:dyDescent="0.3">
      <c r="A113">
        <v>40</v>
      </c>
      <c r="B113" s="7">
        <f t="shared" si="19"/>
        <v>410714.2857142858</v>
      </c>
      <c r="C113" s="7">
        <f t="shared" si="15"/>
        <v>0</v>
      </c>
      <c r="D113" s="7">
        <f t="shared" si="16"/>
        <v>5952.3809523809523</v>
      </c>
      <c r="E113" s="7">
        <f t="shared" si="17"/>
        <v>5952.3809523809523</v>
      </c>
      <c r="F113" s="7">
        <f t="shared" si="18"/>
        <v>404761.90476190485</v>
      </c>
    </row>
    <row r="114" spans="1:6" x14ac:dyDescent="0.3">
      <c r="A114">
        <v>41</v>
      </c>
      <c r="B114" s="7">
        <f t="shared" si="19"/>
        <v>404761.90476190485</v>
      </c>
      <c r="C114" s="7">
        <f t="shared" si="15"/>
        <v>0</v>
      </c>
      <c r="D114" s="7">
        <f t="shared" si="16"/>
        <v>5952.3809523809523</v>
      </c>
      <c r="E114" s="7">
        <f t="shared" si="17"/>
        <v>5952.3809523809523</v>
      </c>
      <c r="F114" s="7">
        <f t="shared" si="18"/>
        <v>398809.5238095239</v>
      </c>
    </row>
    <row r="115" spans="1:6" x14ac:dyDescent="0.3">
      <c r="A115">
        <v>42</v>
      </c>
      <c r="B115" s="7">
        <f t="shared" si="19"/>
        <v>398809.5238095239</v>
      </c>
      <c r="C115" s="7">
        <f t="shared" si="15"/>
        <v>0</v>
      </c>
      <c r="D115" s="7">
        <f t="shared" si="16"/>
        <v>5952.3809523809523</v>
      </c>
      <c r="E115" s="7">
        <f t="shared" si="17"/>
        <v>5952.3809523809523</v>
      </c>
      <c r="F115" s="7">
        <f t="shared" si="18"/>
        <v>392857.14285714296</v>
      </c>
    </row>
    <row r="116" spans="1:6" x14ac:dyDescent="0.3">
      <c r="A116">
        <v>43</v>
      </c>
      <c r="B116" s="7">
        <f t="shared" si="19"/>
        <v>392857.14285714296</v>
      </c>
      <c r="C116" s="7">
        <f t="shared" si="15"/>
        <v>0</v>
      </c>
      <c r="D116" s="7">
        <f t="shared" si="16"/>
        <v>5952.3809523809523</v>
      </c>
      <c r="E116" s="7">
        <f t="shared" si="17"/>
        <v>5952.3809523809523</v>
      </c>
      <c r="F116" s="7">
        <f t="shared" si="18"/>
        <v>386904.76190476201</v>
      </c>
    </row>
    <row r="117" spans="1:6" x14ac:dyDescent="0.3">
      <c r="A117">
        <v>44</v>
      </c>
      <c r="B117" s="7">
        <f t="shared" si="19"/>
        <v>386904.76190476201</v>
      </c>
      <c r="C117" s="7">
        <f t="shared" si="15"/>
        <v>0</v>
      </c>
      <c r="D117" s="7">
        <f t="shared" si="16"/>
        <v>5952.3809523809523</v>
      </c>
      <c r="E117" s="7">
        <f t="shared" si="17"/>
        <v>5952.3809523809523</v>
      </c>
      <c r="F117" s="7">
        <f t="shared" si="18"/>
        <v>380952.38095238106</v>
      </c>
    </row>
    <row r="118" spans="1:6" x14ac:dyDescent="0.3">
      <c r="A118">
        <v>45</v>
      </c>
      <c r="B118" s="7">
        <f t="shared" si="19"/>
        <v>380952.38095238106</v>
      </c>
      <c r="C118" s="7">
        <f t="shared" si="15"/>
        <v>0</v>
      </c>
      <c r="D118" s="7">
        <f t="shared" si="16"/>
        <v>5952.3809523809523</v>
      </c>
      <c r="E118" s="7">
        <f t="shared" si="17"/>
        <v>5952.3809523809523</v>
      </c>
      <c r="F118" s="7">
        <f t="shared" si="18"/>
        <v>375000.00000000012</v>
      </c>
    </row>
    <row r="119" spans="1:6" x14ac:dyDescent="0.3">
      <c r="A119">
        <v>46</v>
      </c>
      <c r="B119" s="7">
        <f t="shared" si="19"/>
        <v>375000.00000000012</v>
      </c>
      <c r="C119" s="7">
        <f t="shared" si="15"/>
        <v>0</v>
      </c>
      <c r="D119" s="7">
        <f t="shared" si="16"/>
        <v>5952.3809523809523</v>
      </c>
      <c r="E119" s="7">
        <f t="shared" si="17"/>
        <v>5952.3809523809523</v>
      </c>
      <c r="F119" s="7">
        <f t="shared" si="18"/>
        <v>369047.61904761917</v>
      </c>
    </row>
    <row r="120" spans="1:6" x14ac:dyDescent="0.3">
      <c r="A120">
        <v>47</v>
      </c>
      <c r="B120" s="7">
        <f t="shared" si="19"/>
        <v>369047.61904761917</v>
      </c>
      <c r="C120" s="7">
        <f t="shared" si="15"/>
        <v>0</v>
      </c>
      <c r="D120" s="7">
        <f t="shared" si="16"/>
        <v>5952.3809523809523</v>
      </c>
      <c r="E120" s="7">
        <f t="shared" si="17"/>
        <v>5952.3809523809523</v>
      </c>
      <c r="F120" s="7">
        <f t="shared" si="18"/>
        <v>363095.23809523822</v>
      </c>
    </row>
    <row r="121" spans="1:6" x14ac:dyDescent="0.3">
      <c r="A121">
        <v>48</v>
      </c>
      <c r="B121" s="7">
        <f t="shared" si="19"/>
        <v>363095.23809523822</v>
      </c>
      <c r="C121" s="7">
        <f t="shared" si="15"/>
        <v>0</v>
      </c>
      <c r="D121" s="7">
        <f t="shared" si="16"/>
        <v>5952.3809523809523</v>
      </c>
      <c r="E121" s="7">
        <f t="shared" si="17"/>
        <v>5952.3809523809523</v>
      </c>
      <c r="F121" s="7">
        <f t="shared" si="18"/>
        <v>357142.85714285728</v>
      </c>
    </row>
    <row r="122" spans="1:6" x14ac:dyDescent="0.3">
      <c r="A122">
        <v>49</v>
      </c>
      <c r="B122" s="7">
        <f t="shared" si="19"/>
        <v>357142.85714285728</v>
      </c>
      <c r="C122" s="7">
        <f t="shared" si="15"/>
        <v>0</v>
      </c>
      <c r="D122" s="7">
        <f t="shared" si="16"/>
        <v>5952.3809523809523</v>
      </c>
      <c r="E122" s="7">
        <f t="shared" si="17"/>
        <v>5952.3809523809523</v>
      </c>
      <c r="F122" s="7">
        <f t="shared" si="18"/>
        <v>351190.47619047633</v>
      </c>
    </row>
    <row r="123" spans="1:6" x14ac:dyDescent="0.3">
      <c r="A123">
        <v>50</v>
      </c>
      <c r="B123" s="7">
        <f t="shared" si="19"/>
        <v>351190.47619047633</v>
      </c>
      <c r="C123" s="7">
        <f t="shared" si="15"/>
        <v>0</v>
      </c>
      <c r="D123" s="7">
        <f t="shared" si="16"/>
        <v>5952.3809523809523</v>
      </c>
      <c r="E123" s="7">
        <f t="shared" si="17"/>
        <v>5952.3809523809523</v>
      </c>
      <c r="F123" s="7">
        <f t="shared" si="18"/>
        <v>345238.09523809538</v>
      </c>
    </row>
    <row r="124" spans="1:6" x14ac:dyDescent="0.3">
      <c r="A124">
        <v>51</v>
      </c>
      <c r="B124" s="7">
        <f t="shared" si="19"/>
        <v>345238.09523809538</v>
      </c>
      <c r="C124" s="7">
        <f t="shared" si="15"/>
        <v>0</v>
      </c>
      <c r="D124" s="7">
        <f t="shared" si="16"/>
        <v>5952.3809523809523</v>
      </c>
      <c r="E124" s="7">
        <f t="shared" si="17"/>
        <v>5952.3809523809523</v>
      </c>
      <c r="F124" s="7">
        <f t="shared" si="18"/>
        <v>339285.71428571444</v>
      </c>
    </row>
    <row r="125" spans="1:6" x14ac:dyDescent="0.3">
      <c r="A125">
        <v>52</v>
      </c>
      <c r="B125" s="7">
        <f t="shared" si="19"/>
        <v>339285.71428571444</v>
      </c>
      <c r="C125" s="7">
        <f t="shared" si="15"/>
        <v>0</v>
      </c>
      <c r="D125" s="7">
        <f t="shared" si="16"/>
        <v>5952.3809523809523</v>
      </c>
      <c r="E125" s="7">
        <f t="shared" si="17"/>
        <v>5952.3809523809523</v>
      </c>
      <c r="F125" s="7">
        <f t="shared" si="18"/>
        <v>333333.33333333349</v>
      </c>
    </row>
    <row r="126" spans="1:6" x14ac:dyDescent="0.3">
      <c r="A126">
        <v>53</v>
      </c>
      <c r="B126" s="7">
        <f t="shared" si="19"/>
        <v>333333.33333333349</v>
      </c>
      <c r="C126" s="7">
        <f t="shared" si="15"/>
        <v>0</v>
      </c>
      <c r="D126" s="7">
        <f t="shared" si="16"/>
        <v>5952.3809523809523</v>
      </c>
      <c r="E126" s="7">
        <f t="shared" si="17"/>
        <v>5952.3809523809523</v>
      </c>
      <c r="F126" s="7">
        <f t="shared" si="18"/>
        <v>327380.95238095254</v>
      </c>
    </row>
    <row r="127" spans="1:6" x14ac:dyDescent="0.3">
      <c r="A127">
        <v>54</v>
      </c>
      <c r="B127" s="7">
        <f t="shared" si="19"/>
        <v>327380.95238095254</v>
      </c>
      <c r="C127" s="7">
        <f t="shared" si="15"/>
        <v>0</v>
      </c>
      <c r="D127" s="7">
        <f t="shared" si="16"/>
        <v>5952.3809523809523</v>
      </c>
      <c r="E127" s="7">
        <f t="shared" si="17"/>
        <v>5952.3809523809523</v>
      </c>
      <c r="F127" s="7">
        <f t="shared" si="18"/>
        <v>321428.57142857159</v>
      </c>
    </row>
    <row r="128" spans="1:6" x14ac:dyDescent="0.3">
      <c r="A128">
        <v>55</v>
      </c>
      <c r="B128" s="7">
        <f t="shared" si="19"/>
        <v>321428.57142857159</v>
      </c>
      <c r="C128" s="7">
        <f t="shared" si="15"/>
        <v>0</v>
      </c>
      <c r="D128" s="7">
        <f t="shared" si="16"/>
        <v>5952.3809523809523</v>
      </c>
      <c r="E128" s="7">
        <f t="shared" si="17"/>
        <v>5952.3809523809523</v>
      </c>
      <c r="F128" s="7">
        <f t="shared" si="18"/>
        <v>315476.19047619065</v>
      </c>
    </row>
    <row r="129" spans="1:10" x14ac:dyDescent="0.3">
      <c r="A129">
        <v>56</v>
      </c>
      <c r="B129" s="7">
        <f t="shared" si="19"/>
        <v>315476.19047619065</v>
      </c>
      <c r="C129" s="7">
        <f t="shared" si="15"/>
        <v>0</v>
      </c>
      <c r="D129" s="7">
        <f t="shared" si="16"/>
        <v>5952.3809523809523</v>
      </c>
      <c r="E129" s="7">
        <f t="shared" si="17"/>
        <v>5952.3809523809523</v>
      </c>
      <c r="F129" s="7">
        <f t="shared" si="18"/>
        <v>309523.8095238097</v>
      </c>
    </row>
    <row r="130" spans="1:10" x14ac:dyDescent="0.3">
      <c r="A130">
        <v>57</v>
      </c>
      <c r="B130" s="7">
        <f t="shared" si="19"/>
        <v>309523.8095238097</v>
      </c>
      <c r="C130" s="7">
        <f t="shared" si="15"/>
        <v>0</v>
      </c>
      <c r="D130" s="7">
        <f t="shared" si="16"/>
        <v>5952.3809523809523</v>
      </c>
      <c r="E130" s="7">
        <f t="shared" si="17"/>
        <v>5952.3809523809523</v>
      </c>
      <c r="F130" s="7">
        <f t="shared" si="18"/>
        <v>303571.42857142875</v>
      </c>
    </row>
    <row r="131" spans="1:10" x14ac:dyDescent="0.3">
      <c r="A131">
        <v>58</v>
      </c>
      <c r="B131" s="7">
        <f t="shared" si="19"/>
        <v>303571.42857142875</v>
      </c>
      <c r="C131" s="7">
        <f t="shared" si="15"/>
        <v>0</v>
      </c>
      <c r="D131" s="7">
        <f t="shared" si="16"/>
        <v>5952.3809523809523</v>
      </c>
      <c r="E131" s="7">
        <f t="shared" si="17"/>
        <v>5952.3809523809523</v>
      </c>
      <c r="F131" s="7">
        <f t="shared" si="18"/>
        <v>297619.04761904781</v>
      </c>
    </row>
    <row r="132" spans="1:10" x14ac:dyDescent="0.3">
      <c r="A132">
        <v>59</v>
      </c>
      <c r="B132" s="7">
        <f t="shared" si="19"/>
        <v>297619.04761904781</v>
      </c>
      <c r="C132" s="7">
        <f t="shared" si="15"/>
        <v>0</v>
      </c>
      <c r="D132" s="7">
        <f t="shared" si="16"/>
        <v>5952.3809523809523</v>
      </c>
      <c r="E132" s="7">
        <f t="shared" si="17"/>
        <v>5952.3809523809523</v>
      </c>
      <c r="F132" s="7">
        <f t="shared" si="18"/>
        <v>291666.66666666686</v>
      </c>
    </row>
    <row r="133" spans="1:10" x14ac:dyDescent="0.3">
      <c r="A133">
        <v>60</v>
      </c>
      <c r="B133" s="7">
        <f t="shared" si="19"/>
        <v>291666.66666666686</v>
      </c>
      <c r="C133" s="7">
        <f t="shared" si="15"/>
        <v>0</v>
      </c>
      <c r="D133" s="7">
        <f t="shared" si="16"/>
        <v>5952.3809523809523</v>
      </c>
      <c r="E133" s="7">
        <f t="shared" si="17"/>
        <v>5952.3809523809523</v>
      </c>
      <c r="F133" s="7">
        <f t="shared" si="18"/>
        <v>285714.28571428591</v>
      </c>
    </row>
    <row r="134" spans="1:10" x14ac:dyDescent="0.3">
      <c r="A134" s="1" t="s">
        <v>171</v>
      </c>
      <c r="B134" s="1" t="s">
        <v>167</v>
      </c>
      <c r="C134" s="1" t="s">
        <v>168</v>
      </c>
      <c r="D134" s="1" t="s">
        <v>172</v>
      </c>
      <c r="E134" s="1" t="s">
        <v>170</v>
      </c>
    </row>
    <row r="135" spans="1:10" x14ac:dyDescent="0.3">
      <c r="A135" t="s">
        <v>24</v>
      </c>
      <c r="B135" s="7">
        <f>SUM(C74:C85)</f>
        <v>0</v>
      </c>
      <c r="C135" s="7">
        <f>SUM(D74:D85)</f>
        <v>0</v>
      </c>
      <c r="D135" s="7">
        <f>B135+C135</f>
        <v>0</v>
      </c>
      <c r="E135" s="7">
        <f>F85</f>
        <v>500000</v>
      </c>
    </row>
    <row r="136" spans="1:10" x14ac:dyDescent="0.3">
      <c r="A136" t="s">
        <v>25</v>
      </c>
      <c r="B136" s="7">
        <f>SUM(C86:C97)</f>
        <v>0</v>
      </c>
      <c r="C136" s="7">
        <f>SUM(D86:D97)</f>
        <v>0</v>
      </c>
      <c r="D136" s="7">
        <f>B136+C136</f>
        <v>0</v>
      </c>
      <c r="E136" s="7">
        <f>F97</f>
        <v>500000</v>
      </c>
    </row>
    <row r="137" spans="1:10" x14ac:dyDescent="0.3">
      <c r="A137" t="s">
        <v>26</v>
      </c>
      <c r="B137" s="7">
        <f>SUM(C98:C109)</f>
        <v>0</v>
      </c>
      <c r="C137" s="7">
        <f>SUM(D98:D109)</f>
        <v>71428.571428571435</v>
      </c>
      <c r="D137" s="7">
        <f>B137+C137</f>
        <v>71428.571428571435</v>
      </c>
      <c r="E137" s="7">
        <f>F109</f>
        <v>428571.42857142864</v>
      </c>
    </row>
    <row r="138" spans="1:10" x14ac:dyDescent="0.3">
      <c r="A138" t="s">
        <v>27</v>
      </c>
      <c r="B138" s="7">
        <f>SUM(C110:C121)</f>
        <v>0</v>
      </c>
      <c r="C138" s="7">
        <f>SUM(D110:D121)</f>
        <v>71428.571428571435</v>
      </c>
      <c r="D138" s="7">
        <f>B138+C138</f>
        <v>71428.571428571435</v>
      </c>
      <c r="E138" s="7">
        <f>F121</f>
        <v>357142.85714285728</v>
      </c>
    </row>
    <row r="139" spans="1:10" x14ac:dyDescent="0.3">
      <c r="A139" t="s">
        <v>28</v>
      </c>
      <c r="B139" s="7">
        <f>SUM(C122:C133)</f>
        <v>0</v>
      </c>
      <c r="C139" s="7">
        <f>SUM(D122:D133)</f>
        <v>71428.571428571435</v>
      </c>
      <c r="D139" s="7">
        <f>B139+C139</f>
        <v>71428.571428571435</v>
      </c>
      <c r="E139" s="7">
        <f>F133</f>
        <v>285714.28571428591</v>
      </c>
    </row>
    <row r="141" spans="1:10" x14ac:dyDescent="0.3">
      <c r="A141" s="2" t="s">
        <v>155</v>
      </c>
    </row>
    <row r="142" spans="1:10" x14ac:dyDescent="0.3">
      <c r="A142" t="s">
        <v>135</v>
      </c>
      <c r="B142" s="7">
        <f>Investissement!B16</f>
        <v>750000</v>
      </c>
      <c r="C142" t="s">
        <v>148</v>
      </c>
      <c r="D142" s="8">
        <f>Investissement!C16</f>
        <v>0.09</v>
      </c>
      <c r="E142" t="s">
        <v>163</v>
      </c>
      <c r="F142">
        <f>Investissement!D16</f>
        <v>7</v>
      </c>
      <c r="G142" t="s">
        <v>150</v>
      </c>
      <c r="H142">
        <f>Investissement!E16</f>
        <v>36</v>
      </c>
      <c r="I142" t="s">
        <v>164</v>
      </c>
      <c r="J142" s="7">
        <f>IF(D142=0,B142/(F142*12),PMT(D142/12,F142*12,-B142))</f>
        <v>12066.808695028913</v>
      </c>
    </row>
    <row r="143" spans="1:10" x14ac:dyDescent="0.3">
      <c r="A143" s="1" t="s">
        <v>165</v>
      </c>
      <c r="B143" s="1" t="s">
        <v>166</v>
      </c>
      <c r="C143" s="1" t="s">
        <v>167</v>
      </c>
      <c r="D143" s="1" t="s">
        <v>168</v>
      </c>
      <c r="E143" s="1" t="s">
        <v>169</v>
      </c>
      <c r="F143" s="1" t="s">
        <v>170</v>
      </c>
    </row>
    <row r="144" spans="1:10" x14ac:dyDescent="0.3">
      <c r="A144">
        <v>1</v>
      </c>
      <c r="B144" s="7">
        <f>B142</f>
        <v>750000</v>
      </c>
      <c r="C144" s="7">
        <f t="shared" ref="C144:C175" si="20">B144*D$142/12</f>
        <v>5625</v>
      </c>
      <c r="D144" s="7">
        <f t="shared" ref="D144:D175" si="21">IF(A144&lt;=H$142,0,MIN(B144,IF(D$142=0,J$142,J$142-B144*D$142/12)))</f>
        <v>0</v>
      </c>
      <c r="E144" s="7">
        <f t="shared" ref="E144:E175" si="22">C144+D144</f>
        <v>5625</v>
      </c>
      <c r="F144" s="7">
        <f t="shared" ref="F144:F175" si="23">B144-D144</f>
        <v>750000</v>
      </c>
    </row>
    <row r="145" spans="1:6" x14ac:dyDescent="0.3">
      <c r="A145">
        <v>2</v>
      </c>
      <c r="B145" s="7">
        <f t="shared" ref="B145:B176" si="24">F144</f>
        <v>750000</v>
      </c>
      <c r="C145" s="7">
        <f t="shared" si="20"/>
        <v>5625</v>
      </c>
      <c r="D145" s="7">
        <f t="shared" si="21"/>
        <v>0</v>
      </c>
      <c r="E145" s="7">
        <f t="shared" si="22"/>
        <v>5625</v>
      </c>
      <c r="F145" s="7">
        <f t="shared" si="23"/>
        <v>750000</v>
      </c>
    </row>
    <row r="146" spans="1:6" x14ac:dyDescent="0.3">
      <c r="A146">
        <v>3</v>
      </c>
      <c r="B146" s="7">
        <f t="shared" si="24"/>
        <v>750000</v>
      </c>
      <c r="C146" s="7">
        <f t="shared" si="20"/>
        <v>5625</v>
      </c>
      <c r="D146" s="7">
        <f t="shared" si="21"/>
        <v>0</v>
      </c>
      <c r="E146" s="7">
        <f t="shared" si="22"/>
        <v>5625</v>
      </c>
      <c r="F146" s="7">
        <f t="shared" si="23"/>
        <v>750000</v>
      </c>
    </row>
    <row r="147" spans="1:6" x14ac:dyDescent="0.3">
      <c r="A147">
        <v>4</v>
      </c>
      <c r="B147" s="7">
        <f t="shared" si="24"/>
        <v>750000</v>
      </c>
      <c r="C147" s="7">
        <f t="shared" si="20"/>
        <v>5625</v>
      </c>
      <c r="D147" s="7">
        <f t="shared" si="21"/>
        <v>0</v>
      </c>
      <c r="E147" s="7">
        <f t="shared" si="22"/>
        <v>5625</v>
      </c>
      <c r="F147" s="7">
        <f t="shared" si="23"/>
        <v>750000</v>
      </c>
    </row>
    <row r="148" spans="1:6" x14ac:dyDescent="0.3">
      <c r="A148">
        <v>5</v>
      </c>
      <c r="B148" s="7">
        <f t="shared" si="24"/>
        <v>750000</v>
      </c>
      <c r="C148" s="7">
        <f t="shared" si="20"/>
        <v>5625</v>
      </c>
      <c r="D148" s="7">
        <f t="shared" si="21"/>
        <v>0</v>
      </c>
      <c r="E148" s="7">
        <f t="shared" si="22"/>
        <v>5625</v>
      </c>
      <c r="F148" s="7">
        <f t="shared" si="23"/>
        <v>750000</v>
      </c>
    </row>
    <row r="149" spans="1:6" x14ac:dyDescent="0.3">
      <c r="A149">
        <v>6</v>
      </c>
      <c r="B149" s="7">
        <f t="shared" si="24"/>
        <v>750000</v>
      </c>
      <c r="C149" s="7">
        <f t="shared" si="20"/>
        <v>5625</v>
      </c>
      <c r="D149" s="7">
        <f t="shared" si="21"/>
        <v>0</v>
      </c>
      <c r="E149" s="7">
        <f t="shared" si="22"/>
        <v>5625</v>
      </c>
      <c r="F149" s="7">
        <f t="shared" si="23"/>
        <v>750000</v>
      </c>
    </row>
    <row r="150" spans="1:6" x14ac:dyDescent="0.3">
      <c r="A150">
        <v>7</v>
      </c>
      <c r="B150" s="7">
        <f t="shared" si="24"/>
        <v>750000</v>
      </c>
      <c r="C150" s="7">
        <f t="shared" si="20"/>
        <v>5625</v>
      </c>
      <c r="D150" s="7">
        <f t="shared" si="21"/>
        <v>0</v>
      </c>
      <c r="E150" s="7">
        <f t="shared" si="22"/>
        <v>5625</v>
      </c>
      <c r="F150" s="7">
        <f t="shared" si="23"/>
        <v>750000</v>
      </c>
    </row>
    <row r="151" spans="1:6" x14ac:dyDescent="0.3">
      <c r="A151">
        <v>8</v>
      </c>
      <c r="B151" s="7">
        <f t="shared" si="24"/>
        <v>750000</v>
      </c>
      <c r="C151" s="7">
        <f t="shared" si="20"/>
        <v>5625</v>
      </c>
      <c r="D151" s="7">
        <f t="shared" si="21"/>
        <v>0</v>
      </c>
      <c r="E151" s="7">
        <f t="shared" si="22"/>
        <v>5625</v>
      </c>
      <c r="F151" s="7">
        <f t="shared" si="23"/>
        <v>750000</v>
      </c>
    </row>
    <row r="152" spans="1:6" x14ac:dyDescent="0.3">
      <c r="A152">
        <v>9</v>
      </c>
      <c r="B152" s="7">
        <f t="shared" si="24"/>
        <v>750000</v>
      </c>
      <c r="C152" s="7">
        <f t="shared" si="20"/>
        <v>5625</v>
      </c>
      <c r="D152" s="7">
        <f t="shared" si="21"/>
        <v>0</v>
      </c>
      <c r="E152" s="7">
        <f t="shared" si="22"/>
        <v>5625</v>
      </c>
      <c r="F152" s="7">
        <f t="shared" si="23"/>
        <v>750000</v>
      </c>
    </row>
    <row r="153" spans="1:6" x14ac:dyDescent="0.3">
      <c r="A153">
        <v>10</v>
      </c>
      <c r="B153" s="7">
        <f t="shared" si="24"/>
        <v>750000</v>
      </c>
      <c r="C153" s="7">
        <f t="shared" si="20"/>
        <v>5625</v>
      </c>
      <c r="D153" s="7">
        <f t="shared" si="21"/>
        <v>0</v>
      </c>
      <c r="E153" s="7">
        <f t="shared" si="22"/>
        <v>5625</v>
      </c>
      <c r="F153" s="7">
        <f t="shared" si="23"/>
        <v>750000</v>
      </c>
    </row>
    <row r="154" spans="1:6" x14ac:dyDescent="0.3">
      <c r="A154">
        <v>11</v>
      </c>
      <c r="B154" s="7">
        <f t="shared" si="24"/>
        <v>750000</v>
      </c>
      <c r="C154" s="7">
        <f t="shared" si="20"/>
        <v>5625</v>
      </c>
      <c r="D154" s="7">
        <f t="shared" si="21"/>
        <v>0</v>
      </c>
      <c r="E154" s="7">
        <f t="shared" si="22"/>
        <v>5625</v>
      </c>
      <c r="F154" s="7">
        <f t="shared" si="23"/>
        <v>750000</v>
      </c>
    </row>
    <row r="155" spans="1:6" x14ac:dyDescent="0.3">
      <c r="A155">
        <v>12</v>
      </c>
      <c r="B155" s="7">
        <f t="shared" si="24"/>
        <v>750000</v>
      </c>
      <c r="C155" s="7">
        <f t="shared" si="20"/>
        <v>5625</v>
      </c>
      <c r="D155" s="7">
        <f t="shared" si="21"/>
        <v>0</v>
      </c>
      <c r="E155" s="7">
        <f t="shared" si="22"/>
        <v>5625</v>
      </c>
      <c r="F155" s="7">
        <f t="shared" si="23"/>
        <v>750000</v>
      </c>
    </row>
    <row r="156" spans="1:6" x14ac:dyDescent="0.3">
      <c r="A156">
        <v>13</v>
      </c>
      <c r="B156" s="7">
        <f t="shared" si="24"/>
        <v>750000</v>
      </c>
      <c r="C156" s="7">
        <f t="shared" si="20"/>
        <v>5625</v>
      </c>
      <c r="D156" s="7">
        <f t="shared" si="21"/>
        <v>0</v>
      </c>
      <c r="E156" s="7">
        <f t="shared" si="22"/>
        <v>5625</v>
      </c>
      <c r="F156" s="7">
        <f t="shared" si="23"/>
        <v>750000</v>
      </c>
    </row>
    <row r="157" spans="1:6" x14ac:dyDescent="0.3">
      <c r="A157">
        <v>14</v>
      </c>
      <c r="B157" s="7">
        <f t="shared" si="24"/>
        <v>750000</v>
      </c>
      <c r="C157" s="7">
        <f t="shared" si="20"/>
        <v>5625</v>
      </c>
      <c r="D157" s="7">
        <f t="shared" si="21"/>
        <v>0</v>
      </c>
      <c r="E157" s="7">
        <f t="shared" si="22"/>
        <v>5625</v>
      </c>
      <c r="F157" s="7">
        <f t="shared" si="23"/>
        <v>750000</v>
      </c>
    </row>
    <row r="158" spans="1:6" x14ac:dyDescent="0.3">
      <c r="A158">
        <v>15</v>
      </c>
      <c r="B158" s="7">
        <f t="shared" si="24"/>
        <v>750000</v>
      </c>
      <c r="C158" s="7">
        <f t="shared" si="20"/>
        <v>5625</v>
      </c>
      <c r="D158" s="7">
        <f t="shared" si="21"/>
        <v>0</v>
      </c>
      <c r="E158" s="7">
        <f t="shared" si="22"/>
        <v>5625</v>
      </c>
      <c r="F158" s="7">
        <f t="shared" si="23"/>
        <v>750000</v>
      </c>
    </row>
    <row r="159" spans="1:6" x14ac:dyDescent="0.3">
      <c r="A159">
        <v>16</v>
      </c>
      <c r="B159" s="7">
        <f t="shared" si="24"/>
        <v>750000</v>
      </c>
      <c r="C159" s="7">
        <f t="shared" si="20"/>
        <v>5625</v>
      </c>
      <c r="D159" s="7">
        <f t="shared" si="21"/>
        <v>0</v>
      </c>
      <c r="E159" s="7">
        <f t="shared" si="22"/>
        <v>5625</v>
      </c>
      <c r="F159" s="7">
        <f t="shared" si="23"/>
        <v>750000</v>
      </c>
    </row>
    <row r="160" spans="1:6" x14ac:dyDescent="0.3">
      <c r="A160">
        <v>17</v>
      </c>
      <c r="B160" s="7">
        <f t="shared" si="24"/>
        <v>750000</v>
      </c>
      <c r="C160" s="7">
        <f t="shared" si="20"/>
        <v>5625</v>
      </c>
      <c r="D160" s="7">
        <f t="shared" si="21"/>
        <v>0</v>
      </c>
      <c r="E160" s="7">
        <f t="shared" si="22"/>
        <v>5625</v>
      </c>
      <c r="F160" s="7">
        <f t="shared" si="23"/>
        <v>750000</v>
      </c>
    </row>
    <row r="161" spans="1:6" x14ac:dyDescent="0.3">
      <c r="A161">
        <v>18</v>
      </c>
      <c r="B161" s="7">
        <f t="shared" si="24"/>
        <v>750000</v>
      </c>
      <c r="C161" s="7">
        <f t="shared" si="20"/>
        <v>5625</v>
      </c>
      <c r="D161" s="7">
        <f t="shared" si="21"/>
        <v>0</v>
      </c>
      <c r="E161" s="7">
        <f t="shared" si="22"/>
        <v>5625</v>
      </c>
      <c r="F161" s="7">
        <f t="shared" si="23"/>
        <v>750000</v>
      </c>
    </row>
    <row r="162" spans="1:6" x14ac:dyDescent="0.3">
      <c r="A162">
        <v>19</v>
      </c>
      <c r="B162" s="7">
        <f t="shared" si="24"/>
        <v>750000</v>
      </c>
      <c r="C162" s="7">
        <f t="shared" si="20"/>
        <v>5625</v>
      </c>
      <c r="D162" s="7">
        <f t="shared" si="21"/>
        <v>0</v>
      </c>
      <c r="E162" s="7">
        <f t="shared" si="22"/>
        <v>5625</v>
      </c>
      <c r="F162" s="7">
        <f t="shared" si="23"/>
        <v>750000</v>
      </c>
    </row>
    <row r="163" spans="1:6" x14ac:dyDescent="0.3">
      <c r="A163">
        <v>20</v>
      </c>
      <c r="B163" s="7">
        <f t="shared" si="24"/>
        <v>750000</v>
      </c>
      <c r="C163" s="7">
        <f t="shared" si="20"/>
        <v>5625</v>
      </c>
      <c r="D163" s="7">
        <f t="shared" si="21"/>
        <v>0</v>
      </c>
      <c r="E163" s="7">
        <f t="shared" si="22"/>
        <v>5625</v>
      </c>
      <c r="F163" s="7">
        <f t="shared" si="23"/>
        <v>750000</v>
      </c>
    </row>
    <row r="164" spans="1:6" x14ac:dyDescent="0.3">
      <c r="A164">
        <v>21</v>
      </c>
      <c r="B164" s="7">
        <f t="shared" si="24"/>
        <v>750000</v>
      </c>
      <c r="C164" s="7">
        <f t="shared" si="20"/>
        <v>5625</v>
      </c>
      <c r="D164" s="7">
        <f t="shared" si="21"/>
        <v>0</v>
      </c>
      <c r="E164" s="7">
        <f t="shared" si="22"/>
        <v>5625</v>
      </c>
      <c r="F164" s="7">
        <f t="shared" si="23"/>
        <v>750000</v>
      </c>
    </row>
    <row r="165" spans="1:6" x14ac:dyDescent="0.3">
      <c r="A165">
        <v>22</v>
      </c>
      <c r="B165" s="7">
        <f t="shared" si="24"/>
        <v>750000</v>
      </c>
      <c r="C165" s="7">
        <f t="shared" si="20"/>
        <v>5625</v>
      </c>
      <c r="D165" s="7">
        <f t="shared" si="21"/>
        <v>0</v>
      </c>
      <c r="E165" s="7">
        <f t="shared" si="22"/>
        <v>5625</v>
      </c>
      <c r="F165" s="7">
        <f t="shared" si="23"/>
        <v>750000</v>
      </c>
    </row>
    <row r="166" spans="1:6" x14ac:dyDescent="0.3">
      <c r="A166">
        <v>23</v>
      </c>
      <c r="B166" s="7">
        <f t="shared" si="24"/>
        <v>750000</v>
      </c>
      <c r="C166" s="7">
        <f t="shared" si="20"/>
        <v>5625</v>
      </c>
      <c r="D166" s="7">
        <f t="shared" si="21"/>
        <v>0</v>
      </c>
      <c r="E166" s="7">
        <f t="shared" si="22"/>
        <v>5625</v>
      </c>
      <c r="F166" s="7">
        <f t="shared" si="23"/>
        <v>750000</v>
      </c>
    </row>
    <row r="167" spans="1:6" x14ac:dyDescent="0.3">
      <c r="A167">
        <v>24</v>
      </c>
      <c r="B167" s="7">
        <f t="shared" si="24"/>
        <v>750000</v>
      </c>
      <c r="C167" s="7">
        <f t="shared" si="20"/>
        <v>5625</v>
      </c>
      <c r="D167" s="7">
        <f t="shared" si="21"/>
        <v>0</v>
      </c>
      <c r="E167" s="7">
        <f t="shared" si="22"/>
        <v>5625</v>
      </c>
      <c r="F167" s="7">
        <f t="shared" si="23"/>
        <v>750000</v>
      </c>
    </row>
    <row r="168" spans="1:6" x14ac:dyDescent="0.3">
      <c r="A168">
        <v>25</v>
      </c>
      <c r="B168" s="7">
        <f t="shared" si="24"/>
        <v>750000</v>
      </c>
      <c r="C168" s="7">
        <f t="shared" si="20"/>
        <v>5625</v>
      </c>
      <c r="D168" s="7">
        <f t="shared" si="21"/>
        <v>0</v>
      </c>
      <c r="E168" s="7">
        <f t="shared" si="22"/>
        <v>5625</v>
      </c>
      <c r="F168" s="7">
        <f t="shared" si="23"/>
        <v>750000</v>
      </c>
    </row>
    <row r="169" spans="1:6" x14ac:dyDescent="0.3">
      <c r="A169">
        <v>26</v>
      </c>
      <c r="B169" s="7">
        <f t="shared" si="24"/>
        <v>750000</v>
      </c>
      <c r="C169" s="7">
        <f t="shared" si="20"/>
        <v>5625</v>
      </c>
      <c r="D169" s="7">
        <f t="shared" si="21"/>
        <v>0</v>
      </c>
      <c r="E169" s="7">
        <f t="shared" si="22"/>
        <v>5625</v>
      </c>
      <c r="F169" s="7">
        <f t="shared" si="23"/>
        <v>750000</v>
      </c>
    </row>
    <row r="170" spans="1:6" x14ac:dyDescent="0.3">
      <c r="A170">
        <v>27</v>
      </c>
      <c r="B170" s="7">
        <f t="shared" si="24"/>
        <v>750000</v>
      </c>
      <c r="C170" s="7">
        <f t="shared" si="20"/>
        <v>5625</v>
      </c>
      <c r="D170" s="7">
        <f t="shared" si="21"/>
        <v>0</v>
      </c>
      <c r="E170" s="7">
        <f t="shared" si="22"/>
        <v>5625</v>
      </c>
      <c r="F170" s="7">
        <f t="shared" si="23"/>
        <v>750000</v>
      </c>
    </row>
    <row r="171" spans="1:6" x14ac:dyDescent="0.3">
      <c r="A171">
        <v>28</v>
      </c>
      <c r="B171" s="7">
        <f t="shared" si="24"/>
        <v>750000</v>
      </c>
      <c r="C171" s="7">
        <f t="shared" si="20"/>
        <v>5625</v>
      </c>
      <c r="D171" s="7">
        <f t="shared" si="21"/>
        <v>0</v>
      </c>
      <c r="E171" s="7">
        <f t="shared" si="22"/>
        <v>5625</v>
      </c>
      <c r="F171" s="7">
        <f t="shared" si="23"/>
        <v>750000</v>
      </c>
    </row>
    <row r="172" spans="1:6" x14ac:dyDescent="0.3">
      <c r="A172">
        <v>29</v>
      </c>
      <c r="B172" s="7">
        <f t="shared" si="24"/>
        <v>750000</v>
      </c>
      <c r="C172" s="7">
        <f t="shared" si="20"/>
        <v>5625</v>
      </c>
      <c r="D172" s="7">
        <f t="shared" si="21"/>
        <v>0</v>
      </c>
      <c r="E172" s="7">
        <f t="shared" si="22"/>
        <v>5625</v>
      </c>
      <c r="F172" s="7">
        <f t="shared" si="23"/>
        <v>750000</v>
      </c>
    </row>
    <row r="173" spans="1:6" x14ac:dyDescent="0.3">
      <c r="A173">
        <v>30</v>
      </c>
      <c r="B173" s="7">
        <f t="shared" si="24"/>
        <v>750000</v>
      </c>
      <c r="C173" s="7">
        <f t="shared" si="20"/>
        <v>5625</v>
      </c>
      <c r="D173" s="7">
        <f t="shared" si="21"/>
        <v>0</v>
      </c>
      <c r="E173" s="7">
        <f t="shared" si="22"/>
        <v>5625</v>
      </c>
      <c r="F173" s="7">
        <f t="shared" si="23"/>
        <v>750000</v>
      </c>
    </row>
    <row r="174" spans="1:6" x14ac:dyDescent="0.3">
      <c r="A174">
        <v>31</v>
      </c>
      <c r="B174" s="7">
        <f t="shared" si="24"/>
        <v>750000</v>
      </c>
      <c r="C174" s="7">
        <f t="shared" si="20"/>
        <v>5625</v>
      </c>
      <c r="D174" s="7">
        <f t="shared" si="21"/>
        <v>0</v>
      </c>
      <c r="E174" s="7">
        <f t="shared" si="22"/>
        <v>5625</v>
      </c>
      <c r="F174" s="7">
        <f t="shared" si="23"/>
        <v>750000</v>
      </c>
    </row>
    <row r="175" spans="1:6" x14ac:dyDescent="0.3">
      <c r="A175">
        <v>32</v>
      </c>
      <c r="B175" s="7">
        <f t="shared" si="24"/>
        <v>750000</v>
      </c>
      <c r="C175" s="7">
        <f t="shared" si="20"/>
        <v>5625</v>
      </c>
      <c r="D175" s="7">
        <f t="shared" si="21"/>
        <v>0</v>
      </c>
      <c r="E175" s="7">
        <f t="shared" si="22"/>
        <v>5625</v>
      </c>
      <c r="F175" s="7">
        <f t="shared" si="23"/>
        <v>750000</v>
      </c>
    </row>
    <row r="176" spans="1:6" x14ac:dyDescent="0.3">
      <c r="A176">
        <v>33</v>
      </c>
      <c r="B176" s="7">
        <f t="shared" si="24"/>
        <v>750000</v>
      </c>
      <c r="C176" s="7">
        <f t="shared" ref="C176:C207" si="25">B176*D$142/12</f>
        <v>5625</v>
      </c>
      <c r="D176" s="7">
        <f t="shared" ref="D176:D203" si="26">IF(A176&lt;=H$142,0,MIN(B176,IF(D$142=0,J$142,J$142-B176*D$142/12)))</f>
        <v>0</v>
      </c>
      <c r="E176" s="7">
        <f t="shared" ref="E176:E207" si="27">C176+D176</f>
        <v>5625</v>
      </c>
      <c r="F176" s="7">
        <f t="shared" ref="F176:F203" si="28">B176-D176</f>
        <v>750000</v>
      </c>
    </row>
    <row r="177" spans="1:6" x14ac:dyDescent="0.3">
      <c r="A177">
        <v>34</v>
      </c>
      <c r="B177" s="7">
        <f t="shared" ref="B177:B203" si="29">F176</f>
        <v>750000</v>
      </c>
      <c r="C177" s="7">
        <f t="shared" si="25"/>
        <v>5625</v>
      </c>
      <c r="D177" s="7">
        <f t="shared" si="26"/>
        <v>0</v>
      </c>
      <c r="E177" s="7">
        <f t="shared" si="27"/>
        <v>5625</v>
      </c>
      <c r="F177" s="7">
        <f t="shared" si="28"/>
        <v>750000</v>
      </c>
    </row>
    <row r="178" spans="1:6" x14ac:dyDescent="0.3">
      <c r="A178">
        <v>35</v>
      </c>
      <c r="B178" s="7">
        <f t="shared" si="29"/>
        <v>750000</v>
      </c>
      <c r="C178" s="7">
        <f t="shared" si="25"/>
        <v>5625</v>
      </c>
      <c r="D178" s="7">
        <f t="shared" si="26"/>
        <v>0</v>
      </c>
      <c r="E178" s="7">
        <f t="shared" si="27"/>
        <v>5625</v>
      </c>
      <c r="F178" s="7">
        <f t="shared" si="28"/>
        <v>750000</v>
      </c>
    </row>
    <row r="179" spans="1:6" x14ac:dyDescent="0.3">
      <c r="A179">
        <v>36</v>
      </c>
      <c r="B179" s="7">
        <f t="shared" si="29"/>
        <v>750000</v>
      </c>
      <c r="C179" s="7">
        <f t="shared" si="25"/>
        <v>5625</v>
      </c>
      <c r="D179" s="7">
        <f t="shared" si="26"/>
        <v>0</v>
      </c>
      <c r="E179" s="7">
        <f t="shared" si="27"/>
        <v>5625</v>
      </c>
      <c r="F179" s="7">
        <f t="shared" si="28"/>
        <v>750000</v>
      </c>
    </row>
    <row r="180" spans="1:6" x14ac:dyDescent="0.3">
      <c r="A180">
        <v>37</v>
      </c>
      <c r="B180" s="7">
        <f t="shared" si="29"/>
        <v>750000</v>
      </c>
      <c r="C180" s="7">
        <f t="shared" si="25"/>
        <v>5625</v>
      </c>
      <c r="D180" s="7">
        <f t="shared" si="26"/>
        <v>6441.8086950289126</v>
      </c>
      <c r="E180" s="7">
        <f t="shared" si="27"/>
        <v>12066.808695028913</v>
      </c>
      <c r="F180" s="7">
        <f t="shared" si="28"/>
        <v>743558.19130497111</v>
      </c>
    </row>
    <row r="181" spans="1:6" x14ac:dyDescent="0.3">
      <c r="A181">
        <v>38</v>
      </c>
      <c r="B181" s="7">
        <f t="shared" si="29"/>
        <v>743558.19130497111</v>
      </c>
      <c r="C181" s="7">
        <f t="shared" si="25"/>
        <v>5576.6864347872834</v>
      </c>
      <c r="D181" s="7">
        <f t="shared" si="26"/>
        <v>6490.1222602416292</v>
      </c>
      <c r="E181" s="7">
        <f t="shared" si="27"/>
        <v>12066.808695028913</v>
      </c>
      <c r="F181" s="7">
        <f t="shared" si="28"/>
        <v>737068.06904472946</v>
      </c>
    </row>
    <row r="182" spans="1:6" x14ac:dyDescent="0.3">
      <c r="A182">
        <v>39</v>
      </c>
      <c r="B182" s="7">
        <f t="shared" si="29"/>
        <v>737068.06904472946</v>
      </c>
      <c r="C182" s="7">
        <f t="shared" si="25"/>
        <v>5528.0105178354706</v>
      </c>
      <c r="D182" s="7">
        <f t="shared" si="26"/>
        <v>6538.7981771934419</v>
      </c>
      <c r="E182" s="7">
        <f t="shared" si="27"/>
        <v>12066.808695028913</v>
      </c>
      <c r="F182" s="7">
        <f t="shared" si="28"/>
        <v>730529.27086753608</v>
      </c>
    </row>
    <row r="183" spans="1:6" x14ac:dyDescent="0.3">
      <c r="A183">
        <v>40</v>
      </c>
      <c r="B183" s="7">
        <f t="shared" si="29"/>
        <v>730529.27086753608</v>
      </c>
      <c r="C183" s="7">
        <f t="shared" si="25"/>
        <v>5478.969531506521</v>
      </c>
      <c r="D183" s="7">
        <f t="shared" si="26"/>
        <v>6587.8391635223916</v>
      </c>
      <c r="E183" s="7">
        <f t="shared" si="27"/>
        <v>12066.808695028913</v>
      </c>
      <c r="F183" s="7">
        <f t="shared" si="28"/>
        <v>723941.43170401372</v>
      </c>
    </row>
    <row r="184" spans="1:6" x14ac:dyDescent="0.3">
      <c r="A184">
        <v>41</v>
      </c>
      <c r="B184" s="7">
        <f t="shared" si="29"/>
        <v>723941.43170401372</v>
      </c>
      <c r="C184" s="7">
        <f t="shared" si="25"/>
        <v>5429.5607377801025</v>
      </c>
      <c r="D184" s="7">
        <f t="shared" si="26"/>
        <v>6637.2479572488101</v>
      </c>
      <c r="E184" s="7">
        <f t="shared" si="27"/>
        <v>12066.808695028913</v>
      </c>
      <c r="F184" s="7">
        <f t="shared" si="28"/>
        <v>717304.1837467649</v>
      </c>
    </row>
    <row r="185" spans="1:6" x14ac:dyDescent="0.3">
      <c r="A185">
        <v>42</v>
      </c>
      <c r="B185" s="7">
        <f t="shared" si="29"/>
        <v>717304.1837467649</v>
      </c>
      <c r="C185" s="7">
        <f t="shared" si="25"/>
        <v>5379.7813781007362</v>
      </c>
      <c r="D185" s="7">
        <f t="shared" si="26"/>
        <v>6687.0273169281763</v>
      </c>
      <c r="E185" s="7">
        <f t="shared" si="27"/>
        <v>12066.808695028913</v>
      </c>
      <c r="F185" s="7">
        <f t="shared" si="28"/>
        <v>710617.15642983676</v>
      </c>
    </row>
    <row r="186" spans="1:6" x14ac:dyDescent="0.3">
      <c r="A186">
        <v>43</v>
      </c>
      <c r="B186" s="7">
        <f t="shared" si="29"/>
        <v>710617.15642983676</v>
      </c>
      <c r="C186" s="7">
        <f t="shared" si="25"/>
        <v>5329.6286732237759</v>
      </c>
      <c r="D186" s="7">
        <f t="shared" si="26"/>
        <v>6737.1800218051367</v>
      </c>
      <c r="E186" s="7">
        <f t="shared" si="27"/>
        <v>12066.808695028913</v>
      </c>
      <c r="F186" s="7">
        <f t="shared" si="28"/>
        <v>703879.97640803165</v>
      </c>
    </row>
    <row r="187" spans="1:6" x14ac:dyDescent="0.3">
      <c r="A187">
        <v>44</v>
      </c>
      <c r="B187" s="7">
        <f t="shared" si="29"/>
        <v>703879.97640803165</v>
      </c>
      <c r="C187" s="7">
        <f t="shared" si="25"/>
        <v>5279.0998230602372</v>
      </c>
      <c r="D187" s="7">
        <f t="shared" si="26"/>
        <v>6787.7088719686753</v>
      </c>
      <c r="E187" s="7">
        <f t="shared" si="27"/>
        <v>12066.808695028913</v>
      </c>
      <c r="F187" s="7">
        <f t="shared" si="28"/>
        <v>697092.26753606298</v>
      </c>
    </row>
    <row r="188" spans="1:6" x14ac:dyDescent="0.3">
      <c r="A188">
        <v>45</v>
      </c>
      <c r="B188" s="7">
        <f t="shared" si="29"/>
        <v>697092.26753606298</v>
      </c>
      <c r="C188" s="7">
        <f t="shared" si="25"/>
        <v>5228.1920065204722</v>
      </c>
      <c r="D188" s="7">
        <f t="shared" si="26"/>
        <v>6838.6166885084403</v>
      </c>
      <c r="E188" s="7">
        <f t="shared" si="27"/>
        <v>12066.808695028913</v>
      </c>
      <c r="F188" s="7">
        <f t="shared" si="28"/>
        <v>690253.65084755456</v>
      </c>
    </row>
    <row r="189" spans="1:6" x14ac:dyDescent="0.3">
      <c r="A189">
        <v>46</v>
      </c>
      <c r="B189" s="7">
        <f t="shared" si="29"/>
        <v>690253.65084755456</v>
      </c>
      <c r="C189" s="7">
        <f t="shared" si="25"/>
        <v>5176.9023813566591</v>
      </c>
      <c r="D189" s="7">
        <f t="shared" si="26"/>
        <v>6889.9063136722534</v>
      </c>
      <c r="E189" s="7">
        <f t="shared" si="27"/>
        <v>12066.808695028913</v>
      </c>
      <c r="F189" s="7">
        <f t="shared" si="28"/>
        <v>683363.74453388236</v>
      </c>
    </row>
    <row r="190" spans="1:6" x14ac:dyDescent="0.3">
      <c r="A190">
        <v>47</v>
      </c>
      <c r="B190" s="7">
        <f t="shared" si="29"/>
        <v>683363.74453388236</v>
      </c>
      <c r="C190" s="7">
        <f t="shared" si="25"/>
        <v>5125.2280840041176</v>
      </c>
      <c r="D190" s="7">
        <f t="shared" si="26"/>
        <v>6941.580611024795</v>
      </c>
      <c r="E190" s="7">
        <f t="shared" si="27"/>
        <v>12066.808695028913</v>
      </c>
      <c r="F190" s="7">
        <f t="shared" si="28"/>
        <v>676422.16392285761</v>
      </c>
    </row>
    <row r="191" spans="1:6" x14ac:dyDescent="0.3">
      <c r="A191">
        <v>48</v>
      </c>
      <c r="B191" s="7">
        <f t="shared" si="29"/>
        <v>676422.16392285761</v>
      </c>
      <c r="C191" s="7">
        <f t="shared" si="25"/>
        <v>5073.166229421432</v>
      </c>
      <c r="D191" s="7">
        <f t="shared" si="26"/>
        <v>6993.6424656074805</v>
      </c>
      <c r="E191" s="7">
        <f t="shared" si="27"/>
        <v>12066.808695028913</v>
      </c>
      <c r="F191" s="7">
        <f t="shared" si="28"/>
        <v>669428.52145725011</v>
      </c>
    </row>
    <row r="192" spans="1:6" x14ac:dyDescent="0.3">
      <c r="A192">
        <v>49</v>
      </c>
      <c r="B192" s="7">
        <f t="shared" si="29"/>
        <v>669428.52145725011</v>
      </c>
      <c r="C192" s="7">
        <f t="shared" si="25"/>
        <v>5020.7139109293757</v>
      </c>
      <c r="D192" s="7">
        <f t="shared" si="26"/>
        <v>7046.0947840995368</v>
      </c>
      <c r="E192" s="7">
        <f t="shared" si="27"/>
        <v>12066.808695028913</v>
      </c>
      <c r="F192" s="7">
        <f t="shared" si="28"/>
        <v>662382.42667315062</v>
      </c>
    </row>
    <row r="193" spans="1:6" x14ac:dyDescent="0.3">
      <c r="A193">
        <v>50</v>
      </c>
      <c r="B193" s="7">
        <f t="shared" si="29"/>
        <v>662382.42667315062</v>
      </c>
      <c r="C193" s="7">
        <f t="shared" si="25"/>
        <v>4967.8682000486297</v>
      </c>
      <c r="D193" s="7">
        <f t="shared" si="26"/>
        <v>7098.9404949802829</v>
      </c>
      <c r="E193" s="7">
        <f t="shared" si="27"/>
        <v>12066.808695028913</v>
      </c>
      <c r="F193" s="7">
        <f t="shared" si="28"/>
        <v>655283.48617817031</v>
      </c>
    </row>
    <row r="194" spans="1:6" x14ac:dyDescent="0.3">
      <c r="A194">
        <v>51</v>
      </c>
      <c r="B194" s="7">
        <f t="shared" si="29"/>
        <v>655283.48617817031</v>
      </c>
      <c r="C194" s="7">
        <f t="shared" si="25"/>
        <v>4914.6261463362771</v>
      </c>
      <c r="D194" s="7">
        <f t="shared" si="26"/>
        <v>7152.1825486926355</v>
      </c>
      <c r="E194" s="7">
        <f t="shared" si="27"/>
        <v>12066.808695028913</v>
      </c>
      <c r="F194" s="7">
        <f t="shared" si="28"/>
        <v>648131.30362947762</v>
      </c>
    </row>
    <row r="195" spans="1:6" x14ac:dyDescent="0.3">
      <c r="A195">
        <v>52</v>
      </c>
      <c r="B195" s="7">
        <f t="shared" si="29"/>
        <v>648131.30362947762</v>
      </c>
      <c r="C195" s="7">
        <f t="shared" si="25"/>
        <v>4860.9847772210824</v>
      </c>
      <c r="D195" s="7">
        <f t="shared" si="26"/>
        <v>7205.8239178078302</v>
      </c>
      <c r="E195" s="7">
        <f t="shared" si="27"/>
        <v>12066.808695028913</v>
      </c>
      <c r="F195" s="7">
        <f t="shared" si="28"/>
        <v>640925.47971166985</v>
      </c>
    </row>
    <row r="196" spans="1:6" x14ac:dyDescent="0.3">
      <c r="A196">
        <v>53</v>
      </c>
      <c r="B196" s="7">
        <f t="shared" si="29"/>
        <v>640925.47971166985</v>
      </c>
      <c r="C196" s="7">
        <f t="shared" si="25"/>
        <v>4806.9410978375236</v>
      </c>
      <c r="D196" s="7">
        <f t="shared" si="26"/>
        <v>7259.867597191389</v>
      </c>
      <c r="E196" s="7">
        <f t="shared" si="27"/>
        <v>12066.808695028913</v>
      </c>
      <c r="F196" s="7">
        <f t="shared" si="28"/>
        <v>633665.61211447848</v>
      </c>
    </row>
    <row r="197" spans="1:6" x14ac:dyDescent="0.3">
      <c r="A197">
        <v>54</v>
      </c>
      <c r="B197" s="7">
        <f t="shared" si="29"/>
        <v>633665.61211447848</v>
      </c>
      <c r="C197" s="7">
        <f t="shared" si="25"/>
        <v>4752.4920908585882</v>
      </c>
      <c r="D197" s="7">
        <f t="shared" si="26"/>
        <v>7314.3166041703244</v>
      </c>
      <c r="E197" s="7">
        <f t="shared" si="27"/>
        <v>12066.808695028913</v>
      </c>
      <c r="F197" s="7">
        <f t="shared" si="28"/>
        <v>626351.29551030812</v>
      </c>
    </row>
    <row r="198" spans="1:6" x14ac:dyDescent="0.3">
      <c r="A198">
        <v>55</v>
      </c>
      <c r="B198" s="7">
        <f t="shared" si="29"/>
        <v>626351.29551030812</v>
      </c>
      <c r="C198" s="7">
        <f t="shared" si="25"/>
        <v>4697.6347163273103</v>
      </c>
      <c r="D198" s="7">
        <f t="shared" si="26"/>
        <v>7369.1739787016022</v>
      </c>
      <c r="E198" s="7">
        <f t="shared" si="27"/>
        <v>12066.808695028913</v>
      </c>
      <c r="F198" s="7">
        <f t="shared" si="28"/>
        <v>618982.12153160654</v>
      </c>
    </row>
    <row r="199" spans="1:6" x14ac:dyDescent="0.3">
      <c r="A199">
        <v>56</v>
      </c>
      <c r="B199" s="7">
        <f t="shared" si="29"/>
        <v>618982.12153160654</v>
      </c>
      <c r="C199" s="7">
        <f t="shared" si="25"/>
        <v>4642.3659114870488</v>
      </c>
      <c r="D199" s="7">
        <f t="shared" si="26"/>
        <v>7424.4427835418637</v>
      </c>
      <c r="E199" s="7">
        <f t="shared" si="27"/>
        <v>12066.808695028913</v>
      </c>
      <c r="F199" s="7">
        <f t="shared" si="28"/>
        <v>611557.67874806467</v>
      </c>
    </row>
    <row r="200" spans="1:6" x14ac:dyDescent="0.3">
      <c r="A200">
        <v>57</v>
      </c>
      <c r="B200" s="7">
        <f t="shared" si="29"/>
        <v>611557.67874806467</v>
      </c>
      <c r="C200" s="7">
        <f t="shared" si="25"/>
        <v>4586.682590610485</v>
      </c>
      <c r="D200" s="7">
        <f t="shared" si="26"/>
        <v>7480.1261044184275</v>
      </c>
      <c r="E200" s="7">
        <f t="shared" si="27"/>
        <v>12066.808695028913</v>
      </c>
      <c r="F200" s="7">
        <f t="shared" si="28"/>
        <v>604077.55264364625</v>
      </c>
    </row>
    <row r="201" spans="1:6" x14ac:dyDescent="0.3">
      <c r="A201">
        <v>58</v>
      </c>
      <c r="B201" s="7">
        <f t="shared" si="29"/>
        <v>604077.55264364625</v>
      </c>
      <c r="C201" s="7">
        <f t="shared" si="25"/>
        <v>4530.5816448273463</v>
      </c>
      <c r="D201" s="7">
        <f t="shared" si="26"/>
        <v>7536.2270502015663</v>
      </c>
      <c r="E201" s="7">
        <f t="shared" si="27"/>
        <v>12066.808695028913</v>
      </c>
      <c r="F201" s="7">
        <f t="shared" si="28"/>
        <v>596541.32559344464</v>
      </c>
    </row>
    <row r="202" spans="1:6" x14ac:dyDescent="0.3">
      <c r="A202">
        <v>59</v>
      </c>
      <c r="B202" s="7">
        <f t="shared" si="29"/>
        <v>596541.32559344464</v>
      </c>
      <c r="C202" s="7">
        <f t="shared" si="25"/>
        <v>4474.0599419508344</v>
      </c>
      <c r="D202" s="7">
        <f t="shared" si="26"/>
        <v>7592.7487530780782</v>
      </c>
      <c r="E202" s="7">
        <f t="shared" si="27"/>
        <v>12066.808695028913</v>
      </c>
      <c r="F202" s="7">
        <f t="shared" si="28"/>
        <v>588948.57684036659</v>
      </c>
    </row>
    <row r="203" spans="1:6" x14ac:dyDescent="0.3">
      <c r="A203">
        <v>60</v>
      </c>
      <c r="B203" s="7">
        <f t="shared" si="29"/>
        <v>588948.57684036659</v>
      </c>
      <c r="C203" s="7">
        <f t="shared" si="25"/>
        <v>4417.1143263027489</v>
      </c>
      <c r="D203" s="7">
        <f t="shared" si="26"/>
        <v>7649.6943687261637</v>
      </c>
      <c r="E203" s="7">
        <f t="shared" si="27"/>
        <v>12066.808695028913</v>
      </c>
      <c r="F203" s="7">
        <f t="shared" si="28"/>
        <v>581298.88247164048</v>
      </c>
    </row>
    <row r="204" spans="1:6" x14ac:dyDescent="0.3">
      <c r="A204" s="1" t="s">
        <v>171</v>
      </c>
      <c r="B204" s="1" t="s">
        <v>167</v>
      </c>
      <c r="C204" s="1" t="s">
        <v>168</v>
      </c>
      <c r="D204" s="1" t="s">
        <v>172</v>
      </c>
      <c r="E204" s="1" t="s">
        <v>170</v>
      </c>
    </row>
    <row r="205" spans="1:6" x14ac:dyDescent="0.3">
      <c r="A205" t="s">
        <v>24</v>
      </c>
      <c r="B205" s="7">
        <f>SUM(C144:C155)</f>
        <v>67500</v>
      </c>
      <c r="C205" s="7">
        <f>SUM(D144:D155)</f>
        <v>0</v>
      </c>
      <c r="D205" s="7">
        <f>B205+C205</f>
        <v>67500</v>
      </c>
      <c r="E205" s="7">
        <f>F155</f>
        <v>750000</v>
      </c>
    </row>
    <row r="206" spans="1:6" x14ac:dyDescent="0.3">
      <c r="A206" t="s">
        <v>25</v>
      </c>
      <c r="B206" s="7">
        <f>SUM(C156:C167)</f>
        <v>67500</v>
      </c>
      <c r="C206" s="7">
        <f>SUM(D156:D167)</f>
        <v>0</v>
      </c>
      <c r="D206" s="7">
        <f>B206+C206</f>
        <v>67500</v>
      </c>
      <c r="E206" s="7">
        <f>F167</f>
        <v>750000</v>
      </c>
    </row>
    <row r="207" spans="1:6" x14ac:dyDescent="0.3">
      <c r="A207" t="s">
        <v>26</v>
      </c>
      <c r="B207" s="7">
        <f>SUM(C168:C179)</f>
        <v>67500</v>
      </c>
      <c r="C207" s="7">
        <f>SUM(D168:D179)</f>
        <v>0</v>
      </c>
      <c r="D207" s="7">
        <f>B207+C207</f>
        <v>67500</v>
      </c>
      <c r="E207" s="7">
        <f>F179</f>
        <v>750000</v>
      </c>
    </row>
    <row r="208" spans="1:6" x14ac:dyDescent="0.3">
      <c r="A208" t="s">
        <v>27</v>
      </c>
      <c r="B208" s="7">
        <f>SUM(C180:C191)</f>
        <v>64230.22579759681</v>
      </c>
      <c r="C208" s="7">
        <f>SUM(D180:D191)</f>
        <v>80571.478542750134</v>
      </c>
      <c r="D208" s="7">
        <f>B208+C208</f>
        <v>144801.70434034694</v>
      </c>
      <c r="E208" s="7">
        <f>F191</f>
        <v>669428.52145725011</v>
      </c>
    </row>
    <row r="209" spans="1:10" x14ac:dyDescent="0.3">
      <c r="A209" t="s">
        <v>28</v>
      </c>
      <c r="B209" s="7">
        <f>SUM(C192:C203)</f>
        <v>56672.065354737249</v>
      </c>
      <c r="C209" s="7">
        <f>SUM(D192:D203)</f>
        <v>88129.638985609694</v>
      </c>
      <c r="D209" s="7">
        <f>B209+C209</f>
        <v>144801.70434034694</v>
      </c>
      <c r="E209" s="7">
        <f>F203</f>
        <v>581298.88247164048</v>
      </c>
    </row>
    <row r="211" spans="1:10" x14ac:dyDescent="0.3">
      <c r="A211" s="2" t="s">
        <v>156</v>
      </c>
    </row>
    <row r="212" spans="1:10" x14ac:dyDescent="0.3">
      <c r="A212" t="s">
        <v>135</v>
      </c>
      <c r="B212" s="7">
        <f>Investissement!B17</f>
        <v>150000</v>
      </c>
      <c r="C212" t="s">
        <v>148</v>
      </c>
      <c r="D212" s="8">
        <f>Investissement!C17</f>
        <v>0.06</v>
      </c>
      <c r="E212" t="s">
        <v>163</v>
      </c>
      <c r="F212">
        <f>Investissement!D17</f>
        <v>7</v>
      </c>
      <c r="G212" t="s">
        <v>150</v>
      </c>
      <c r="H212">
        <f>Investissement!E17</f>
        <v>12</v>
      </c>
      <c r="I212" t="s">
        <v>164</v>
      </c>
      <c r="J212" s="7">
        <f>IF(D212=0,B212/(F212*12),PMT(D212/12,F212*12,-B212))</f>
        <v>2191.2831725671185</v>
      </c>
    </row>
    <row r="213" spans="1:10" x14ac:dyDescent="0.3">
      <c r="A213" s="1" t="s">
        <v>165</v>
      </c>
      <c r="B213" s="1" t="s">
        <v>166</v>
      </c>
      <c r="C213" s="1" t="s">
        <v>167</v>
      </c>
      <c r="D213" s="1" t="s">
        <v>168</v>
      </c>
      <c r="E213" s="1" t="s">
        <v>169</v>
      </c>
      <c r="F213" s="1" t="s">
        <v>170</v>
      </c>
    </row>
    <row r="214" spans="1:10" x14ac:dyDescent="0.3">
      <c r="A214">
        <v>1</v>
      </c>
      <c r="B214" s="7">
        <f>B212</f>
        <v>150000</v>
      </c>
      <c r="C214" s="7">
        <f t="shared" ref="C214:C245" si="30">B214*D$212/12</f>
        <v>750</v>
      </c>
      <c r="D214" s="7">
        <f t="shared" ref="D214:D245" si="31">IF(A214&lt;=H$212,0,MIN(B214,IF(D$212=0,J$212,J$212-B214*D$212/12)))</f>
        <v>0</v>
      </c>
      <c r="E214" s="7">
        <f t="shared" ref="E214:E245" si="32">C214+D214</f>
        <v>750</v>
      </c>
      <c r="F214" s="7">
        <f t="shared" ref="F214:F245" si="33">B214-D214</f>
        <v>150000</v>
      </c>
    </row>
    <row r="215" spans="1:10" x14ac:dyDescent="0.3">
      <c r="A215">
        <v>2</v>
      </c>
      <c r="B215" s="7">
        <f t="shared" ref="B215:B246" si="34">F214</f>
        <v>150000</v>
      </c>
      <c r="C215" s="7">
        <f t="shared" si="30"/>
        <v>750</v>
      </c>
      <c r="D215" s="7">
        <f t="shared" si="31"/>
        <v>0</v>
      </c>
      <c r="E215" s="7">
        <f t="shared" si="32"/>
        <v>750</v>
      </c>
      <c r="F215" s="7">
        <f t="shared" si="33"/>
        <v>150000</v>
      </c>
    </row>
    <row r="216" spans="1:10" x14ac:dyDescent="0.3">
      <c r="A216">
        <v>3</v>
      </c>
      <c r="B216" s="7">
        <f t="shared" si="34"/>
        <v>150000</v>
      </c>
      <c r="C216" s="7">
        <f t="shared" si="30"/>
        <v>750</v>
      </c>
      <c r="D216" s="7">
        <f t="shared" si="31"/>
        <v>0</v>
      </c>
      <c r="E216" s="7">
        <f t="shared" si="32"/>
        <v>750</v>
      </c>
      <c r="F216" s="7">
        <f t="shared" si="33"/>
        <v>150000</v>
      </c>
    </row>
    <row r="217" spans="1:10" x14ac:dyDescent="0.3">
      <c r="A217">
        <v>4</v>
      </c>
      <c r="B217" s="7">
        <f t="shared" si="34"/>
        <v>150000</v>
      </c>
      <c r="C217" s="7">
        <f t="shared" si="30"/>
        <v>750</v>
      </c>
      <c r="D217" s="7">
        <f t="shared" si="31"/>
        <v>0</v>
      </c>
      <c r="E217" s="7">
        <f t="shared" si="32"/>
        <v>750</v>
      </c>
      <c r="F217" s="7">
        <f t="shared" si="33"/>
        <v>150000</v>
      </c>
    </row>
    <row r="218" spans="1:10" x14ac:dyDescent="0.3">
      <c r="A218">
        <v>5</v>
      </c>
      <c r="B218" s="7">
        <f t="shared" si="34"/>
        <v>150000</v>
      </c>
      <c r="C218" s="7">
        <f t="shared" si="30"/>
        <v>750</v>
      </c>
      <c r="D218" s="7">
        <f t="shared" si="31"/>
        <v>0</v>
      </c>
      <c r="E218" s="7">
        <f t="shared" si="32"/>
        <v>750</v>
      </c>
      <c r="F218" s="7">
        <f t="shared" si="33"/>
        <v>150000</v>
      </c>
    </row>
    <row r="219" spans="1:10" x14ac:dyDescent="0.3">
      <c r="A219">
        <v>6</v>
      </c>
      <c r="B219" s="7">
        <f t="shared" si="34"/>
        <v>150000</v>
      </c>
      <c r="C219" s="7">
        <f t="shared" si="30"/>
        <v>750</v>
      </c>
      <c r="D219" s="7">
        <f t="shared" si="31"/>
        <v>0</v>
      </c>
      <c r="E219" s="7">
        <f t="shared" si="32"/>
        <v>750</v>
      </c>
      <c r="F219" s="7">
        <f t="shared" si="33"/>
        <v>150000</v>
      </c>
    </row>
    <row r="220" spans="1:10" x14ac:dyDescent="0.3">
      <c r="A220">
        <v>7</v>
      </c>
      <c r="B220" s="7">
        <f t="shared" si="34"/>
        <v>150000</v>
      </c>
      <c r="C220" s="7">
        <f t="shared" si="30"/>
        <v>750</v>
      </c>
      <c r="D220" s="7">
        <f t="shared" si="31"/>
        <v>0</v>
      </c>
      <c r="E220" s="7">
        <f t="shared" si="32"/>
        <v>750</v>
      </c>
      <c r="F220" s="7">
        <f t="shared" si="33"/>
        <v>150000</v>
      </c>
    </row>
    <row r="221" spans="1:10" x14ac:dyDescent="0.3">
      <c r="A221">
        <v>8</v>
      </c>
      <c r="B221" s="7">
        <f t="shared" si="34"/>
        <v>150000</v>
      </c>
      <c r="C221" s="7">
        <f t="shared" si="30"/>
        <v>750</v>
      </c>
      <c r="D221" s="7">
        <f t="shared" si="31"/>
        <v>0</v>
      </c>
      <c r="E221" s="7">
        <f t="shared" si="32"/>
        <v>750</v>
      </c>
      <c r="F221" s="7">
        <f t="shared" si="33"/>
        <v>150000</v>
      </c>
    </row>
    <row r="222" spans="1:10" x14ac:dyDescent="0.3">
      <c r="A222">
        <v>9</v>
      </c>
      <c r="B222" s="7">
        <f t="shared" si="34"/>
        <v>150000</v>
      </c>
      <c r="C222" s="7">
        <f t="shared" si="30"/>
        <v>750</v>
      </c>
      <c r="D222" s="7">
        <f t="shared" si="31"/>
        <v>0</v>
      </c>
      <c r="E222" s="7">
        <f t="shared" si="32"/>
        <v>750</v>
      </c>
      <c r="F222" s="7">
        <f t="shared" si="33"/>
        <v>150000</v>
      </c>
    </row>
    <row r="223" spans="1:10" x14ac:dyDescent="0.3">
      <c r="A223">
        <v>10</v>
      </c>
      <c r="B223" s="7">
        <f t="shared" si="34"/>
        <v>150000</v>
      </c>
      <c r="C223" s="7">
        <f t="shared" si="30"/>
        <v>750</v>
      </c>
      <c r="D223" s="7">
        <f t="shared" si="31"/>
        <v>0</v>
      </c>
      <c r="E223" s="7">
        <f t="shared" si="32"/>
        <v>750</v>
      </c>
      <c r="F223" s="7">
        <f t="shared" si="33"/>
        <v>150000</v>
      </c>
    </row>
    <row r="224" spans="1:10" x14ac:dyDescent="0.3">
      <c r="A224">
        <v>11</v>
      </c>
      <c r="B224" s="7">
        <f t="shared" si="34"/>
        <v>150000</v>
      </c>
      <c r="C224" s="7">
        <f t="shared" si="30"/>
        <v>750</v>
      </c>
      <c r="D224" s="7">
        <f t="shared" si="31"/>
        <v>0</v>
      </c>
      <c r="E224" s="7">
        <f t="shared" si="32"/>
        <v>750</v>
      </c>
      <c r="F224" s="7">
        <f t="shared" si="33"/>
        <v>150000</v>
      </c>
    </row>
    <row r="225" spans="1:6" x14ac:dyDescent="0.3">
      <c r="A225">
        <v>12</v>
      </c>
      <c r="B225" s="7">
        <f t="shared" si="34"/>
        <v>150000</v>
      </c>
      <c r="C225" s="7">
        <f t="shared" si="30"/>
        <v>750</v>
      </c>
      <c r="D225" s="7">
        <f t="shared" si="31"/>
        <v>0</v>
      </c>
      <c r="E225" s="7">
        <f t="shared" si="32"/>
        <v>750</v>
      </c>
      <c r="F225" s="7">
        <f t="shared" si="33"/>
        <v>150000</v>
      </c>
    </row>
    <row r="226" spans="1:6" x14ac:dyDescent="0.3">
      <c r="A226">
        <v>13</v>
      </c>
      <c r="B226" s="7">
        <f t="shared" si="34"/>
        <v>150000</v>
      </c>
      <c r="C226" s="7">
        <f t="shared" si="30"/>
        <v>750</v>
      </c>
      <c r="D226" s="7">
        <f t="shared" si="31"/>
        <v>1441.2831725671185</v>
      </c>
      <c r="E226" s="7">
        <f t="shared" si="32"/>
        <v>2191.2831725671185</v>
      </c>
      <c r="F226" s="7">
        <f t="shared" si="33"/>
        <v>148558.71682743289</v>
      </c>
    </row>
    <row r="227" spans="1:6" x14ac:dyDescent="0.3">
      <c r="A227">
        <v>14</v>
      </c>
      <c r="B227" s="7">
        <f t="shared" si="34"/>
        <v>148558.71682743289</v>
      </c>
      <c r="C227" s="7">
        <f t="shared" si="30"/>
        <v>742.79358413716443</v>
      </c>
      <c r="D227" s="7">
        <f t="shared" si="31"/>
        <v>1448.489588429954</v>
      </c>
      <c r="E227" s="7">
        <f t="shared" si="32"/>
        <v>2191.2831725671185</v>
      </c>
      <c r="F227" s="7">
        <f t="shared" si="33"/>
        <v>147110.22723900294</v>
      </c>
    </row>
    <row r="228" spans="1:6" x14ac:dyDescent="0.3">
      <c r="A228">
        <v>15</v>
      </c>
      <c r="B228" s="7">
        <f t="shared" si="34"/>
        <v>147110.22723900294</v>
      </c>
      <c r="C228" s="7">
        <f t="shared" si="30"/>
        <v>735.55113619501469</v>
      </c>
      <c r="D228" s="7">
        <f t="shared" si="31"/>
        <v>1455.7320363721037</v>
      </c>
      <c r="E228" s="7">
        <f t="shared" si="32"/>
        <v>2191.2831725671185</v>
      </c>
      <c r="F228" s="7">
        <f t="shared" si="33"/>
        <v>145654.49520263085</v>
      </c>
    </row>
    <row r="229" spans="1:6" x14ac:dyDescent="0.3">
      <c r="A229">
        <v>16</v>
      </c>
      <c r="B229" s="7">
        <f t="shared" si="34"/>
        <v>145654.49520263085</v>
      </c>
      <c r="C229" s="7">
        <f t="shared" si="30"/>
        <v>728.27247601315423</v>
      </c>
      <c r="D229" s="7">
        <f t="shared" si="31"/>
        <v>1463.0106965539644</v>
      </c>
      <c r="E229" s="7">
        <f t="shared" si="32"/>
        <v>2191.2831725671185</v>
      </c>
      <c r="F229" s="7">
        <f t="shared" si="33"/>
        <v>144191.48450607687</v>
      </c>
    </row>
    <row r="230" spans="1:6" x14ac:dyDescent="0.3">
      <c r="A230">
        <v>17</v>
      </c>
      <c r="B230" s="7">
        <f t="shared" si="34"/>
        <v>144191.48450607687</v>
      </c>
      <c r="C230" s="7">
        <f t="shared" si="30"/>
        <v>720.95742253038441</v>
      </c>
      <c r="D230" s="7">
        <f t="shared" si="31"/>
        <v>1470.325750036734</v>
      </c>
      <c r="E230" s="7">
        <f t="shared" si="32"/>
        <v>2191.2831725671185</v>
      </c>
      <c r="F230" s="7">
        <f t="shared" si="33"/>
        <v>142721.15875604012</v>
      </c>
    </row>
    <row r="231" spans="1:6" x14ac:dyDescent="0.3">
      <c r="A231">
        <v>18</v>
      </c>
      <c r="B231" s="7">
        <f t="shared" si="34"/>
        <v>142721.15875604012</v>
      </c>
      <c r="C231" s="7">
        <f t="shared" si="30"/>
        <v>713.60579378020066</v>
      </c>
      <c r="D231" s="7">
        <f t="shared" si="31"/>
        <v>1477.6773787869179</v>
      </c>
      <c r="E231" s="7">
        <f t="shared" si="32"/>
        <v>2191.2831725671185</v>
      </c>
      <c r="F231" s="7">
        <f t="shared" si="33"/>
        <v>141243.48137725319</v>
      </c>
    </row>
    <row r="232" spans="1:6" x14ac:dyDescent="0.3">
      <c r="A232">
        <v>19</v>
      </c>
      <c r="B232" s="7">
        <f t="shared" si="34"/>
        <v>141243.48137725319</v>
      </c>
      <c r="C232" s="7">
        <f t="shared" si="30"/>
        <v>706.21740688626596</v>
      </c>
      <c r="D232" s="7">
        <f t="shared" si="31"/>
        <v>1485.0657656808526</v>
      </c>
      <c r="E232" s="7">
        <f t="shared" si="32"/>
        <v>2191.2831725671185</v>
      </c>
      <c r="F232" s="7">
        <f t="shared" si="33"/>
        <v>139758.41561157233</v>
      </c>
    </row>
    <row r="233" spans="1:6" x14ac:dyDescent="0.3">
      <c r="A233">
        <v>20</v>
      </c>
      <c r="B233" s="7">
        <f t="shared" si="34"/>
        <v>139758.41561157233</v>
      </c>
      <c r="C233" s="7">
        <f t="shared" si="30"/>
        <v>698.79207805786166</v>
      </c>
      <c r="D233" s="7">
        <f t="shared" si="31"/>
        <v>1492.491094509257</v>
      </c>
      <c r="E233" s="7">
        <f t="shared" si="32"/>
        <v>2191.2831725671185</v>
      </c>
      <c r="F233" s="7">
        <f t="shared" si="33"/>
        <v>138265.92451706307</v>
      </c>
    </row>
    <row r="234" spans="1:6" x14ac:dyDescent="0.3">
      <c r="A234">
        <v>21</v>
      </c>
      <c r="B234" s="7">
        <f t="shared" si="34"/>
        <v>138265.92451706307</v>
      </c>
      <c r="C234" s="7">
        <f t="shared" si="30"/>
        <v>691.32962258531541</v>
      </c>
      <c r="D234" s="7">
        <f t="shared" si="31"/>
        <v>1499.953549981803</v>
      </c>
      <c r="E234" s="7">
        <f t="shared" si="32"/>
        <v>2191.2831725671185</v>
      </c>
      <c r="F234" s="7">
        <f t="shared" si="33"/>
        <v>136765.97096708126</v>
      </c>
    </row>
    <row r="235" spans="1:6" x14ac:dyDescent="0.3">
      <c r="A235">
        <v>22</v>
      </c>
      <c r="B235" s="7">
        <f t="shared" si="34"/>
        <v>136765.97096708126</v>
      </c>
      <c r="C235" s="7">
        <f t="shared" si="30"/>
        <v>683.82985483540631</v>
      </c>
      <c r="D235" s="7">
        <f t="shared" si="31"/>
        <v>1507.4533177317121</v>
      </c>
      <c r="E235" s="7">
        <f t="shared" si="32"/>
        <v>2191.2831725671185</v>
      </c>
      <c r="F235" s="7">
        <f t="shared" si="33"/>
        <v>135258.51764934955</v>
      </c>
    </row>
    <row r="236" spans="1:6" x14ac:dyDescent="0.3">
      <c r="A236">
        <v>23</v>
      </c>
      <c r="B236" s="7">
        <f t="shared" si="34"/>
        <v>135258.51764934955</v>
      </c>
      <c r="C236" s="7">
        <f t="shared" si="30"/>
        <v>676.29258824674775</v>
      </c>
      <c r="D236" s="7">
        <f t="shared" si="31"/>
        <v>1514.9905843203708</v>
      </c>
      <c r="E236" s="7">
        <f t="shared" si="32"/>
        <v>2191.2831725671185</v>
      </c>
      <c r="F236" s="7">
        <f t="shared" si="33"/>
        <v>133743.52706502919</v>
      </c>
    </row>
    <row r="237" spans="1:6" x14ac:dyDescent="0.3">
      <c r="A237">
        <v>24</v>
      </c>
      <c r="B237" s="7">
        <f t="shared" si="34"/>
        <v>133743.52706502919</v>
      </c>
      <c r="C237" s="7">
        <f t="shared" si="30"/>
        <v>668.71763532514592</v>
      </c>
      <c r="D237" s="7">
        <f t="shared" si="31"/>
        <v>1522.5655372419726</v>
      </c>
      <c r="E237" s="7">
        <f t="shared" si="32"/>
        <v>2191.2831725671185</v>
      </c>
      <c r="F237" s="7">
        <f t="shared" si="33"/>
        <v>132220.96152778721</v>
      </c>
    </row>
    <row r="238" spans="1:6" x14ac:dyDescent="0.3">
      <c r="A238">
        <v>25</v>
      </c>
      <c r="B238" s="7">
        <f t="shared" si="34"/>
        <v>132220.96152778721</v>
      </c>
      <c r="C238" s="7">
        <f t="shared" si="30"/>
        <v>661.10480763893599</v>
      </c>
      <c r="D238" s="7">
        <f t="shared" si="31"/>
        <v>1530.1783649281824</v>
      </c>
      <c r="E238" s="7">
        <f t="shared" si="32"/>
        <v>2191.2831725671185</v>
      </c>
      <c r="F238" s="7">
        <f t="shared" si="33"/>
        <v>130690.78316285902</v>
      </c>
    </row>
    <row r="239" spans="1:6" x14ac:dyDescent="0.3">
      <c r="A239">
        <v>26</v>
      </c>
      <c r="B239" s="7">
        <f t="shared" si="34"/>
        <v>130690.78316285902</v>
      </c>
      <c r="C239" s="7">
        <f t="shared" si="30"/>
        <v>653.4539158142951</v>
      </c>
      <c r="D239" s="7">
        <f t="shared" si="31"/>
        <v>1537.8292567528233</v>
      </c>
      <c r="E239" s="7">
        <f t="shared" si="32"/>
        <v>2191.2831725671185</v>
      </c>
      <c r="F239" s="7">
        <f t="shared" si="33"/>
        <v>129152.9539061062</v>
      </c>
    </row>
    <row r="240" spans="1:6" x14ac:dyDescent="0.3">
      <c r="A240">
        <v>27</v>
      </c>
      <c r="B240" s="7">
        <f t="shared" si="34"/>
        <v>129152.9539061062</v>
      </c>
      <c r="C240" s="7">
        <f t="shared" si="30"/>
        <v>645.764769530531</v>
      </c>
      <c r="D240" s="7">
        <f t="shared" si="31"/>
        <v>1545.5184030365876</v>
      </c>
      <c r="E240" s="7">
        <f t="shared" si="32"/>
        <v>2191.2831725671185</v>
      </c>
      <c r="F240" s="7">
        <f t="shared" si="33"/>
        <v>127607.4355030696</v>
      </c>
    </row>
    <row r="241" spans="1:6" x14ac:dyDescent="0.3">
      <c r="A241">
        <v>28</v>
      </c>
      <c r="B241" s="7">
        <f t="shared" si="34"/>
        <v>127607.4355030696</v>
      </c>
      <c r="C241" s="7">
        <f t="shared" si="30"/>
        <v>638.03717751534793</v>
      </c>
      <c r="D241" s="7">
        <f t="shared" si="31"/>
        <v>1553.2459950517705</v>
      </c>
      <c r="E241" s="7">
        <f t="shared" si="32"/>
        <v>2191.2831725671185</v>
      </c>
      <c r="F241" s="7">
        <f t="shared" si="33"/>
        <v>126054.18950801784</v>
      </c>
    </row>
    <row r="242" spans="1:6" x14ac:dyDescent="0.3">
      <c r="A242">
        <v>29</v>
      </c>
      <c r="B242" s="7">
        <f t="shared" si="34"/>
        <v>126054.18950801784</v>
      </c>
      <c r="C242" s="7">
        <f t="shared" si="30"/>
        <v>630.2709475400892</v>
      </c>
      <c r="D242" s="7">
        <f t="shared" si="31"/>
        <v>1561.0122250270292</v>
      </c>
      <c r="E242" s="7">
        <f t="shared" si="32"/>
        <v>2191.2831725671185</v>
      </c>
      <c r="F242" s="7">
        <f t="shared" si="33"/>
        <v>124493.1772829908</v>
      </c>
    </row>
    <row r="243" spans="1:6" x14ac:dyDescent="0.3">
      <c r="A243">
        <v>30</v>
      </c>
      <c r="B243" s="7">
        <f t="shared" si="34"/>
        <v>124493.1772829908</v>
      </c>
      <c r="C243" s="7">
        <f t="shared" si="30"/>
        <v>622.46588641495396</v>
      </c>
      <c r="D243" s="7">
        <f t="shared" si="31"/>
        <v>1568.8172861521646</v>
      </c>
      <c r="E243" s="7">
        <f t="shared" si="32"/>
        <v>2191.2831725671185</v>
      </c>
      <c r="F243" s="7">
        <f t="shared" si="33"/>
        <v>122924.35999683864</v>
      </c>
    </row>
    <row r="244" spans="1:6" x14ac:dyDescent="0.3">
      <c r="A244">
        <v>31</v>
      </c>
      <c r="B244" s="7">
        <f t="shared" si="34"/>
        <v>122924.35999683864</v>
      </c>
      <c r="C244" s="7">
        <f t="shared" si="30"/>
        <v>614.62179998419322</v>
      </c>
      <c r="D244" s="7">
        <f t="shared" si="31"/>
        <v>1576.6613725829252</v>
      </c>
      <c r="E244" s="7">
        <f t="shared" si="32"/>
        <v>2191.2831725671185</v>
      </c>
      <c r="F244" s="7">
        <f t="shared" si="33"/>
        <v>121347.69862425572</v>
      </c>
    </row>
    <row r="245" spans="1:6" x14ac:dyDescent="0.3">
      <c r="A245">
        <v>32</v>
      </c>
      <c r="B245" s="7">
        <f t="shared" si="34"/>
        <v>121347.69862425572</v>
      </c>
      <c r="C245" s="7">
        <f t="shared" si="30"/>
        <v>606.73849312127857</v>
      </c>
      <c r="D245" s="7">
        <f t="shared" si="31"/>
        <v>1584.5446794458398</v>
      </c>
      <c r="E245" s="7">
        <f t="shared" si="32"/>
        <v>2191.2831725671185</v>
      </c>
      <c r="F245" s="7">
        <f t="shared" si="33"/>
        <v>119763.15394480988</v>
      </c>
    </row>
    <row r="246" spans="1:6" x14ac:dyDescent="0.3">
      <c r="A246">
        <v>33</v>
      </c>
      <c r="B246" s="7">
        <f t="shared" si="34"/>
        <v>119763.15394480988</v>
      </c>
      <c r="C246" s="7">
        <f t="shared" ref="C246:C277" si="35">B246*D$212/12</f>
        <v>598.81576972404935</v>
      </c>
      <c r="D246" s="7">
        <f t="shared" ref="D246:D273" si="36">IF(A246&lt;=H$212,0,MIN(B246,IF(D$212=0,J$212,J$212-B246*D$212/12)))</f>
        <v>1592.4674028430691</v>
      </c>
      <c r="E246" s="7">
        <f t="shared" ref="E246:E277" si="37">C246+D246</f>
        <v>2191.2831725671185</v>
      </c>
      <c r="F246" s="7">
        <f t="shared" ref="F246:F273" si="38">B246-D246</f>
        <v>118170.6865419668</v>
      </c>
    </row>
    <row r="247" spans="1:6" x14ac:dyDescent="0.3">
      <c r="A247">
        <v>34</v>
      </c>
      <c r="B247" s="7">
        <f t="shared" ref="B247:B273" si="39">F246</f>
        <v>118170.6865419668</v>
      </c>
      <c r="C247" s="7">
        <f t="shared" si="35"/>
        <v>590.85343270983401</v>
      </c>
      <c r="D247" s="7">
        <f t="shared" si="36"/>
        <v>1600.4297398572844</v>
      </c>
      <c r="E247" s="7">
        <f t="shared" si="37"/>
        <v>2191.2831725671185</v>
      </c>
      <c r="F247" s="7">
        <f t="shared" si="38"/>
        <v>116570.25680210952</v>
      </c>
    </row>
    <row r="248" spans="1:6" x14ac:dyDescent="0.3">
      <c r="A248">
        <v>35</v>
      </c>
      <c r="B248" s="7">
        <f t="shared" si="39"/>
        <v>116570.25680210952</v>
      </c>
      <c r="C248" s="7">
        <f t="shared" si="35"/>
        <v>582.8512840105476</v>
      </c>
      <c r="D248" s="7">
        <f t="shared" si="36"/>
        <v>1608.4318885565708</v>
      </c>
      <c r="E248" s="7">
        <f t="shared" si="37"/>
        <v>2191.2831725671185</v>
      </c>
      <c r="F248" s="7">
        <f t="shared" si="38"/>
        <v>114961.82491355295</v>
      </c>
    </row>
    <row r="249" spans="1:6" x14ac:dyDescent="0.3">
      <c r="A249">
        <v>36</v>
      </c>
      <c r="B249" s="7">
        <f t="shared" si="39"/>
        <v>114961.82491355295</v>
      </c>
      <c r="C249" s="7">
        <f t="shared" si="35"/>
        <v>574.80912456776468</v>
      </c>
      <c r="D249" s="7">
        <f t="shared" si="36"/>
        <v>1616.4740479993538</v>
      </c>
      <c r="E249" s="7">
        <f t="shared" si="37"/>
        <v>2191.2831725671185</v>
      </c>
      <c r="F249" s="7">
        <f t="shared" si="38"/>
        <v>113345.3508655536</v>
      </c>
    </row>
    <row r="250" spans="1:6" x14ac:dyDescent="0.3">
      <c r="A250">
        <v>37</v>
      </c>
      <c r="B250" s="7">
        <f t="shared" si="39"/>
        <v>113345.3508655536</v>
      </c>
      <c r="C250" s="7">
        <f t="shared" si="35"/>
        <v>566.72675432776794</v>
      </c>
      <c r="D250" s="7">
        <f t="shared" si="36"/>
        <v>1624.5564182393505</v>
      </c>
      <c r="E250" s="7">
        <f t="shared" si="37"/>
        <v>2191.2831725671185</v>
      </c>
      <c r="F250" s="7">
        <f t="shared" si="38"/>
        <v>111720.79444731424</v>
      </c>
    </row>
    <row r="251" spans="1:6" x14ac:dyDescent="0.3">
      <c r="A251">
        <v>38</v>
      </c>
      <c r="B251" s="7">
        <f t="shared" si="39"/>
        <v>111720.79444731424</v>
      </c>
      <c r="C251" s="7">
        <f t="shared" si="35"/>
        <v>558.60397223657117</v>
      </c>
      <c r="D251" s="7">
        <f t="shared" si="36"/>
        <v>1632.6792003305472</v>
      </c>
      <c r="E251" s="7">
        <f t="shared" si="37"/>
        <v>2191.2831725671185</v>
      </c>
      <c r="F251" s="7">
        <f t="shared" si="38"/>
        <v>110088.1152469837</v>
      </c>
    </row>
    <row r="252" spans="1:6" x14ac:dyDescent="0.3">
      <c r="A252">
        <v>39</v>
      </c>
      <c r="B252" s="7">
        <f t="shared" si="39"/>
        <v>110088.1152469837</v>
      </c>
      <c r="C252" s="7">
        <f t="shared" si="35"/>
        <v>550.44057623491847</v>
      </c>
      <c r="D252" s="7">
        <f t="shared" si="36"/>
        <v>1640.8425963322002</v>
      </c>
      <c r="E252" s="7">
        <f t="shared" si="37"/>
        <v>2191.2831725671185</v>
      </c>
      <c r="F252" s="7">
        <f t="shared" si="38"/>
        <v>108447.2726506515</v>
      </c>
    </row>
    <row r="253" spans="1:6" x14ac:dyDescent="0.3">
      <c r="A253">
        <v>40</v>
      </c>
      <c r="B253" s="7">
        <f t="shared" si="39"/>
        <v>108447.2726506515</v>
      </c>
      <c r="C253" s="7">
        <f t="shared" si="35"/>
        <v>542.23636325325754</v>
      </c>
      <c r="D253" s="7">
        <f t="shared" si="36"/>
        <v>1649.0468093138611</v>
      </c>
      <c r="E253" s="7">
        <f t="shared" si="37"/>
        <v>2191.2831725671185</v>
      </c>
      <c r="F253" s="7">
        <f t="shared" si="38"/>
        <v>106798.22584133764</v>
      </c>
    </row>
    <row r="254" spans="1:6" x14ac:dyDescent="0.3">
      <c r="A254">
        <v>41</v>
      </c>
      <c r="B254" s="7">
        <f t="shared" si="39"/>
        <v>106798.22584133764</v>
      </c>
      <c r="C254" s="7">
        <f t="shared" si="35"/>
        <v>533.99112920668824</v>
      </c>
      <c r="D254" s="7">
        <f t="shared" si="36"/>
        <v>1657.2920433604304</v>
      </c>
      <c r="E254" s="7">
        <f t="shared" si="37"/>
        <v>2191.2831725671185</v>
      </c>
      <c r="F254" s="7">
        <f t="shared" si="38"/>
        <v>105140.93379797721</v>
      </c>
    </row>
    <row r="255" spans="1:6" x14ac:dyDescent="0.3">
      <c r="A255">
        <v>42</v>
      </c>
      <c r="B255" s="7">
        <f t="shared" si="39"/>
        <v>105140.93379797721</v>
      </c>
      <c r="C255" s="7">
        <f t="shared" si="35"/>
        <v>525.70466898988604</v>
      </c>
      <c r="D255" s="7">
        <f t="shared" si="36"/>
        <v>1665.5785035772324</v>
      </c>
      <c r="E255" s="7">
        <f t="shared" si="37"/>
        <v>2191.2831725671185</v>
      </c>
      <c r="F255" s="7">
        <f t="shared" si="38"/>
        <v>103475.35529439998</v>
      </c>
    </row>
    <row r="256" spans="1:6" x14ac:dyDescent="0.3">
      <c r="A256">
        <v>43</v>
      </c>
      <c r="B256" s="7">
        <f t="shared" si="39"/>
        <v>103475.35529439998</v>
      </c>
      <c r="C256" s="7">
        <f t="shared" si="35"/>
        <v>517.37677647199996</v>
      </c>
      <c r="D256" s="7">
        <f t="shared" si="36"/>
        <v>1673.9063960951185</v>
      </c>
      <c r="E256" s="7">
        <f t="shared" si="37"/>
        <v>2191.2831725671185</v>
      </c>
      <c r="F256" s="7">
        <f t="shared" si="38"/>
        <v>101801.44889830486</v>
      </c>
    </row>
    <row r="257" spans="1:6" x14ac:dyDescent="0.3">
      <c r="A257">
        <v>44</v>
      </c>
      <c r="B257" s="7">
        <f t="shared" si="39"/>
        <v>101801.44889830486</v>
      </c>
      <c r="C257" s="7">
        <f t="shared" si="35"/>
        <v>509.00724449152432</v>
      </c>
      <c r="D257" s="7">
        <f t="shared" si="36"/>
        <v>1682.2759280755943</v>
      </c>
      <c r="E257" s="7">
        <f t="shared" si="37"/>
        <v>2191.2831725671185</v>
      </c>
      <c r="F257" s="7">
        <f t="shared" si="38"/>
        <v>100119.17297022927</v>
      </c>
    </row>
    <row r="258" spans="1:6" x14ac:dyDescent="0.3">
      <c r="A258">
        <v>45</v>
      </c>
      <c r="B258" s="7">
        <f t="shared" si="39"/>
        <v>100119.17297022927</v>
      </c>
      <c r="C258" s="7">
        <f t="shared" si="35"/>
        <v>500.59586485114636</v>
      </c>
      <c r="D258" s="7">
        <f t="shared" si="36"/>
        <v>1690.6873077159721</v>
      </c>
      <c r="E258" s="7">
        <f t="shared" si="37"/>
        <v>2191.2831725671185</v>
      </c>
      <c r="F258" s="7">
        <f t="shared" si="38"/>
        <v>98428.485662513296</v>
      </c>
    </row>
    <row r="259" spans="1:6" x14ac:dyDescent="0.3">
      <c r="A259">
        <v>46</v>
      </c>
      <c r="B259" s="7">
        <f t="shared" si="39"/>
        <v>98428.485662513296</v>
      </c>
      <c r="C259" s="7">
        <f t="shared" si="35"/>
        <v>492.14242831256644</v>
      </c>
      <c r="D259" s="7">
        <f t="shared" si="36"/>
        <v>1699.1407442545521</v>
      </c>
      <c r="E259" s="7">
        <f t="shared" si="37"/>
        <v>2191.2831725671185</v>
      </c>
      <c r="F259" s="7">
        <f t="shared" si="38"/>
        <v>96729.34491825875</v>
      </c>
    </row>
    <row r="260" spans="1:6" x14ac:dyDescent="0.3">
      <c r="A260">
        <v>47</v>
      </c>
      <c r="B260" s="7">
        <f t="shared" si="39"/>
        <v>96729.34491825875</v>
      </c>
      <c r="C260" s="7">
        <f t="shared" si="35"/>
        <v>483.64672459129378</v>
      </c>
      <c r="D260" s="7">
        <f t="shared" si="36"/>
        <v>1707.6364479758247</v>
      </c>
      <c r="E260" s="7">
        <f t="shared" si="37"/>
        <v>2191.2831725671185</v>
      </c>
      <c r="F260" s="7">
        <f t="shared" si="38"/>
        <v>95021.708470282931</v>
      </c>
    </row>
    <row r="261" spans="1:6" x14ac:dyDescent="0.3">
      <c r="A261">
        <v>48</v>
      </c>
      <c r="B261" s="7">
        <f t="shared" si="39"/>
        <v>95021.708470282931</v>
      </c>
      <c r="C261" s="7">
        <f t="shared" si="35"/>
        <v>475.1085423514146</v>
      </c>
      <c r="D261" s="7">
        <f t="shared" si="36"/>
        <v>1716.1746302157039</v>
      </c>
      <c r="E261" s="7">
        <f t="shared" si="37"/>
        <v>2191.2831725671185</v>
      </c>
      <c r="F261" s="7">
        <f t="shared" si="38"/>
        <v>93305.533840067234</v>
      </c>
    </row>
    <row r="262" spans="1:6" x14ac:dyDescent="0.3">
      <c r="A262">
        <v>49</v>
      </c>
      <c r="B262" s="7">
        <f t="shared" si="39"/>
        <v>93305.533840067234</v>
      </c>
      <c r="C262" s="7">
        <f t="shared" si="35"/>
        <v>466.52766920033611</v>
      </c>
      <c r="D262" s="7">
        <f t="shared" si="36"/>
        <v>1724.7555033667825</v>
      </c>
      <c r="E262" s="7">
        <f t="shared" si="37"/>
        <v>2191.2831725671185</v>
      </c>
      <c r="F262" s="7">
        <f t="shared" si="38"/>
        <v>91580.778336700445</v>
      </c>
    </row>
    <row r="263" spans="1:6" x14ac:dyDescent="0.3">
      <c r="A263">
        <v>50</v>
      </c>
      <c r="B263" s="7">
        <f t="shared" si="39"/>
        <v>91580.778336700445</v>
      </c>
      <c r="C263" s="7">
        <f t="shared" si="35"/>
        <v>457.9038916835022</v>
      </c>
      <c r="D263" s="7">
        <f t="shared" si="36"/>
        <v>1733.3792808836163</v>
      </c>
      <c r="E263" s="7">
        <f t="shared" si="37"/>
        <v>2191.2831725671185</v>
      </c>
      <c r="F263" s="7">
        <f t="shared" si="38"/>
        <v>89847.39905581683</v>
      </c>
    </row>
    <row r="264" spans="1:6" x14ac:dyDescent="0.3">
      <c r="A264">
        <v>51</v>
      </c>
      <c r="B264" s="7">
        <f t="shared" si="39"/>
        <v>89847.39905581683</v>
      </c>
      <c r="C264" s="7">
        <f t="shared" si="35"/>
        <v>449.23699527908411</v>
      </c>
      <c r="D264" s="7">
        <f t="shared" si="36"/>
        <v>1742.0461772880344</v>
      </c>
      <c r="E264" s="7">
        <f t="shared" si="37"/>
        <v>2191.2831725671185</v>
      </c>
      <c r="F264" s="7">
        <f t="shared" si="38"/>
        <v>88105.352878528793</v>
      </c>
    </row>
    <row r="265" spans="1:6" x14ac:dyDescent="0.3">
      <c r="A265">
        <v>52</v>
      </c>
      <c r="B265" s="7">
        <f t="shared" si="39"/>
        <v>88105.352878528793</v>
      </c>
      <c r="C265" s="7">
        <f t="shared" si="35"/>
        <v>440.526764392644</v>
      </c>
      <c r="D265" s="7">
        <f t="shared" si="36"/>
        <v>1750.7564081744745</v>
      </c>
      <c r="E265" s="7">
        <f t="shared" si="37"/>
        <v>2191.2831725671185</v>
      </c>
      <c r="F265" s="7">
        <f t="shared" si="38"/>
        <v>86354.596470354314</v>
      </c>
    </row>
    <row r="266" spans="1:6" x14ac:dyDescent="0.3">
      <c r="A266">
        <v>53</v>
      </c>
      <c r="B266" s="7">
        <f t="shared" si="39"/>
        <v>86354.596470354314</v>
      </c>
      <c r="C266" s="7">
        <f t="shared" si="35"/>
        <v>431.77298235177159</v>
      </c>
      <c r="D266" s="7">
        <f t="shared" si="36"/>
        <v>1759.5101902153469</v>
      </c>
      <c r="E266" s="7">
        <f t="shared" si="37"/>
        <v>2191.2831725671185</v>
      </c>
      <c r="F266" s="7">
        <f t="shared" si="38"/>
        <v>84595.086280138974</v>
      </c>
    </row>
    <row r="267" spans="1:6" x14ac:dyDescent="0.3">
      <c r="A267">
        <v>54</v>
      </c>
      <c r="B267" s="7">
        <f t="shared" si="39"/>
        <v>84595.086280138974</v>
      </c>
      <c r="C267" s="7">
        <f t="shared" si="35"/>
        <v>422.97543140069484</v>
      </c>
      <c r="D267" s="7">
        <f t="shared" si="36"/>
        <v>1768.3077411664237</v>
      </c>
      <c r="E267" s="7">
        <f t="shared" si="37"/>
        <v>2191.2831725671185</v>
      </c>
      <c r="F267" s="7">
        <f t="shared" si="38"/>
        <v>82826.778538972547</v>
      </c>
    </row>
    <row r="268" spans="1:6" x14ac:dyDescent="0.3">
      <c r="A268">
        <v>55</v>
      </c>
      <c r="B268" s="7">
        <f t="shared" si="39"/>
        <v>82826.778538972547</v>
      </c>
      <c r="C268" s="7">
        <f t="shared" si="35"/>
        <v>414.13389269486271</v>
      </c>
      <c r="D268" s="7">
        <f t="shared" si="36"/>
        <v>1777.1492798722559</v>
      </c>
      <c r="E268" s="7">
        <f t="shared" si="37"/>
        <v>2191.2831725671185</v>
      </c>
      <c r="F268" s="7">
        <f t="shared" si="38"/>
        <v>81049.629259100286</v>
      </c>
    </row>
    <row r="269" spans="1:6" x14ac:dyDescent="0.3">
      <c r="A269">
        <v>56</v>
      </c>
      <c r="B269" s="7">
        <f t="shared" si="39"/>
        <v>81049.629259100286</v>
      </c>
      <c r="C269" s="7">
        <f t="shared" si="35"/>
        <v>405.24814629550139</v>
      </c>
      <c r="D269" s="7">
        <f t="shared" si="36"/>
        <v>1786.0350262716172</v>
      </c>
      <c r="E269" s="7">
        <f t="shared" si="37"/>
        <v>2191.2831725671185</v>
      </c>
      <c r="F269" s="7">
        <f t="shared" si="38"/>
        <v>79263.594232828662</v>
      </c>
    </row>
    <row r="270" spans="1:6" x14ac:dyDescent="0.3">
      <c r="A270">
        <v>57</v>
      </c>
      <c r="B270" s="7">
        <f t="shared" si="39"/>
        <v>79263.594232828662</v>
      </c>
      <c r="C270" s="7">
        <f t="shared" si="35"/>
        <v>396.31797116414327</v>
      </c>
      <c r="D270" s="7">
        <f t="shared" si="36"/>
        <v>1794.9652014029753</v>
      </c>
      <c r="E270" s="7">
        <f t="shared" si="37"/>
        <v>2191.2831725671185</v>
      </c>
      <c r="F270" s="7">
        <f t="shared" si="38"/>
        <v>77468.629031425691</v>
      </c>
    </row>
    <row r="271" spans="1:6" x14ac:dyDescent="0.3">
      <c r="A271">
        <v>58</v>
      </c>
      <c r="B271" s="7">
        <f t="shared" si="39"/>
        <v>77468.629031425691</v>
      </c>
      <c r="C271" s="7">
        <f t="shared" si="35"/>
        <v>387.34314515712845</v>
      </c>
      <c r="D271" s="7">
        <f t="shared" si="36"/>
        <v>1803.9400274099901</v>
      </c>
      <c r="E271" s="7">
        <f t="shared" si="37"/>
        <v>2191.2831725671185</v>
      </c>
      <c r="F271" s="7">
        <f t="shared" si="38"/>
        <v>75664.689004015701</v>
      </c>
    </row>
    <row r="272" spans="1:6" x14ac:dyDescent="0.3">
      <c r="A272">
        <v>59</v>
      </c>
      <c r="B272" s="7">
        <f t="shared" si="39"/>
        <v>75664.689004015701</v>
      </c>
      <c r="C272" s="7">
        <f t="shared" si="35"/>
        <v>378.32344502007851</v>
      </c>
      <c r="D272" s="7">
        <f t="shared" si="36"/>
        <v>1812.9597275470401</v>
      </c>
      <c r="E272" s="7">
        <f t="shared" si="37"/>
        <v>2191.2831725671185</v>
      </c>
      <c r="F272" s="7">
        <f t="shared" si="38"/>
        <v>73851.729276468657</v>
      </c>
    </row>
    <row r="273" spans="1:10" x14ac:dyDescent="0.3">
      <c r="A273">
        <v>60</v>
      </c>
      <c r="B273" s="7">
        <f t="shared" si="39"/>
        <v>73851.729276468657</v>
      </c>
      <c r="C273" s="7">
        <f t="shared" si="35"/>
        <v>369.25864638234322</v>
      </c>
      <c r="D273" s="7">
        <f t="shared" si="36"/>
        <v>1822.0245261847754</v>
      </c>
      <c r="E273" s="7">
        <f t="shared" si="37"/>
        <v>2191.2831725671185</v>
      </c>
      <c r="F273" s="7">
        <f t="shared" si="38"/>
        <v>72029.704750283883</v>
      </c>
    </row>
    <row r="274" spans="1:10" x14ac:dyDescent="0.3">
      <c r="A274" s="1" t="s">
        <v>171</v>
      </c>
      <c r="B274" s="1" t="s">
        <v>167</v>
      </c>
      <c r="C274" s="1" t="s">
        <v>168</v>
      </c>
      <c r="D274" s="1" t="s">
        <v>172</v>
      </c>
      <c r="E274" s="1" t="s">
        <v>170</v>
      </c>
    </row>
    <row r="275" spans="1:10" x14ac:dyDescent="0.3">
      <c r="A275" t="s">
        <v>24</v>
      </c>
      <c r="B275" s="7">
        <f>SUM(C214:C225)</f>
        <v>9000</v>
      </c>
      <c r="C275" s="7">
        <f>SUM(D214:D225)</f>
        <v>0</v>
      </c>
      <c r="D275" s="7">
        <f>B275+C275</f>
        <v>9000</v>
      </c>
      <c r="E275" s="7">
        <f>F225</f>
        <v>150000</v>
      </c>
    </row>
    <row r="276" spans="1:10" x14ac:dyDescent="0.3">
      <c r="A276" t="s">
        <v>25</v>
      </c>
      <c r="B276" s="7">
        <f>SUM(C226:C237)</f>
        <v>8516.3595985926604</v>
      </c>
      <c r="C276" s="7">
        <f>SUM(D226:D237)</f>
        <v>17779.03847221276</v>
      </c>
      <c r="D276" s="7">
        <f>B276+C276</f>
        <v>26295.398070805422</v>
      </c>
      <c r="E276" s="7">
        <f>F237</f>
        <v>132220.96152778721</v>
      </c>
    </row>
    <row r="277" spans="1:10" x14ac:dyDescent="0.3">
      <c r="A277" t="s">
        <v>26</v>
      </c>
      <c r="B277" s="7">
        <f>SUM(C238:C249)</f>
        <v>7419.7874085718213</v>
      </c>
      <c r="C277" s="7">
        <f>SUM(D238:D249)</f>
        <v>18875.610662233601</v>
      </c>
      <c r="D277" s="7">
        <f>B277+C277</f>
        <v>26295.398070805422</v>
      </c>
      <c r="E277" s="7">
        <f>F249</f>
        <v>113345.3508655536</v>
      </c>
    </row>
    <row r="278" spans="1:10" x14ac:dyDescent="0.3">
      <c r="A278" t="s">
        <v>27</v>
      </c>
      <c r="B278" s="7">
        <f>SUM(C250:C261)</f>
        <v>6255.5810453190334</v>
      </c>
      <c r="C278" s="7">
        <f>SUM(D250:D261)</f>
        <v>20039.817025486387</v>
      </c>
      <c r="D278" s="7">
        <f>B278+C278</f>
        <v>26295.398070805422</v>
      </c>
      <c r="E278" s="7">
        <f>F261</f>
        <v>93305.533840067234</v>
      </c>
    </row>
    <row r="279" spans="1:10" x14ac:dyDescent="0.3">
      <c r="A279" t="s">
        <v>28</v>
      </c>
      <c r="B279" s="7">
        <f>SUM(C262:C273)</f>
        <v>5019.568981022092</v>
      </c>
      <c r="C279" s="7">
        <f>SUM(D262:D273)</f>
        <v>21275.829089783332</v>
      </c>
      <c r="D279" s="7">
        <f>B279+C279</f>
        <v>26295.398070805422</v>
      </c>
      <c r="E279" s="7">
        <f>F273</f>
        <v>72029.704750283883</v>
      </c>
    </row>
    <row r="281" spans="1:10" x14ac:dyDescent="0.3">
      <c r="A281" s="2" t="s">
        <v>157</v>
      </c>
    </row>
    <row r="282" spans="1:10" x14ac:dyDescent="0.3">
      <c r="A282" t="s">
        <v>135</v>
      </c>
      <c r="B282" s="7">
        <f>Investissement!B18</f>
        <v>185000</v>
      </c>
      <c r="C282" t="s">
        <v>148</v>
      </c>
      <c r="D282" s="8">
        <f>Investissement!C18</f>
        <v>0.05</v>
      </c>
      <c r="E282" t="s">
        <v>163</v>
      </c>
      <c r="F282">
        <f>Investissement!D18</f>
        <v>5</v>
      </c>
      <c r="G282" t="s">
        <v>150</v>
      </c>
      <c r="H282">
        <f>Investissement!E18</f>
        <v>24</v>
      </c>
      <c r="I282" t="s">
        <v>164</v>
      </c>
      <c r="J282" s="7">
        <f>IF(D282=0,B282/(F282*12),PMT(D282/12,F282*12,-B282))</f>
        <v>3491.1782241420228</v>
      </c>
    </row>
    <row r="283" spans="1:10" x14ac:dyDescent="0.3">
      <c r="A283" s="1" t="s">
        <v>165</v>
      </c>
      <c r="B283" s="1" t="s">
        <v>166</v>
      </c>
      <c r="C283" s="1" t="s">
        <v>167</v>
      </c>
      <c r="D283" s="1" t="s">
        <v>168</v>
      </c>
      <c r="E283" s="1" t="s">
        <v>169</v>
      </c>
      <c r="F283" s="1" t="s">
        <v>170</v>
      </c>
    </row>
    <row r="284" spans="1:10" x14ac:dyDescent="0.3">
      <c r="A284">
        <v>1</v>
      </c>
      <c r="B284" s="7">
        <f>B282</f>
        <v>185000</v>
      </c>
      <c r="C284" s="7">
        <f t="shared" ref="C284:C315" si="40">B284*D$282/12</f>
        <v>770.83333333333337</v>
      </c>
      <c r="D284" s="7">
        <f t="shared" ref="D284:D315" si="41">IF(A284&lt;=H$282,0,MIN(B284,IF(D$282=0,J$282,J$282-B284*D$282/12)))</f>
        <v>0</v>
      </c>
      <c r="E284" s="7">
        <f t="shared" ref="E284:E315" si="42">C284+D284</f>
        <v>770.83333333333337</v>
      </c>
      <c r="F284" s="7">
        <f t="shared" ref="F284:F315" si="43">B284-D284</f>
        <v>185000</v>
      </c>
    </row>
    <row r="285" spans="1:10" x14ac:dyDescent="0.3">
      <c r="A285">
        <v>2</v>
      </c>
      <c r="B285" s="7">
        <f t="shared" ref="B285:B316" si="44">F284</f>
        <v>185000</v>
      </c>
      <c r="C285" s="7">
        <f t="shared" si="40"/>
        <v>770.83333333333337</v>
      </c>
      <c r="D285" s="7">
        <f t="shared" si="41"/>
        <v>0</v>
      </c>
      <c r="E285" s="7">
        <f t="shared" si="42"/>
        <v>770.83333333333337</v>
      </c>
      <c r="F285" s="7">
        <f t="shared" si="43"/>
        <v>185000</v>
      </c>
    </row>
    <row r="286" spans="1:10" x14ac:dyDescent="0.3">
      <c r="A286">
        <v>3</v>
      </c>
      <c r="B286" s="7">
        <f t="shared" si="44"/>
        <v>185000</v>
      </c>
      <c r="C286" s="7">
        <f t="shared" si="40"/>
        <v>770.83333333333337</v>
      </c>
      <c r="D286" s="7">
        <f t="shared" si="41"/>
        <v>0</v>
      </c>
      <c r="E286" s="7">
        <f t="shared" si="42"/>
        <v>770.83333333333337</v>
      </c>
      <c r="F286" s="7">
        <f t="shared" si="43"/>
        <v>185000</v>
      </c>
    </row>
    <row r="287" spans="1:10" x14ac:dyDescent="0.3">
      <c r="A287">
        <v>4</v>
      </c>
      <c r="B287" s="7">
        <f t="shared" si="44"/>
        <v>185000</v>
      </c>
      <c r="C287" s="7">
        <f t="shared" si="40"/>
        <v>770.83333333333337</v>
      </c>
      <c r="D287" s="7">
        <f t="shared" si="41"/>
        <v>0</v>
      </c>
      <c r="E287" s="7">
        <f t="shared" si="42"/>
        <v>770.83333333333337</v>
      </c>
      <c r="F287" s="7">
        <f t="shared" si="43"/>
        <v>185000</v>
      </c>
    </row>
    <row r="288" spans="1:10" x14ac:dyDescent="0.3">
      <c r="A288">
        <v>5</v>
      </c>
      <c r="B288" s="7">
        <f t="shared" si="44"/>
        <v>185000</v>
      </c>
      <c r="C288" s="7">
        <f t="shared" si="40"/>
        <v>770.83333333333337</v>
      </c>
      <c r="D288" s="7">
        <f t="shared" si="41"/>
        <v>0</v>
      </c>
      <c r="E288" s="7">
        <f t="shared" si="42"/>
        <v>770.83333333333337</v>
      </c>
      <c r="F288" s="7">
        <f t="shared" si="43"/>
        <v>185000</v>
      </c>
    </row>
    <row r="289" spans="1:6" x14ac:dyDescent="0.3">
      <c r="A289">
        <v>6</v>
      </c>
      <c r="B289" s="7">
        <f t="shared" si="44"/>
        <v>185000</v>
      </c>
      <c r="C289" s="7">
        <f t="shared" si="40"/>
        <v>770.83333333333337</v>
      </c>
      <c r="D289" s="7">
        <f t="shared" si="41"/>
        <v>0</v>
      </c>
      <c r="E289" s="7">
        <f t="shared" si="42"/>
        <v>770.83333333333337</v>
      </c>
      <c r="F289" s="7">
        <f t="shared" si="43"/>
        <v>185000</v>
      </c>
    </row>
    <row r="290" spans="1:6" x14ac:dyDescent="0.3">
      <c r="A290">
        <v>7</v>
      </c>
      <c r="B290" s="7">
        <f t="shared" si="44"/>
        <v>185000</v>
      </c>
      <c r="C290" s="7">
        <f t="shared" si="40"/>
        <v>770.83333333333337</v>
      </c>
      <c r="D290" s="7">
        <f t="shared" si="41"/>
        <v>0</v>
      </c>
      <c r="E290" s="7">
        <f t="shared" si="42"/>
        <v>770.83333333333337</v>
      </c>
      <c r="F290" s="7">
        <f t="shared" si="43"/>
        <v>185000</v>
      </c>
    </row>
    <row r="291" spans="1:6" x14ac:dyDescent="0.3">
      <c r="A291">
        <v>8</v>
      </c>
      <c r="B291" s="7">
        <f t="shared" si="44"/>
        <v>185000</v>
      </c>
      <c r="C291" s="7">
        <f t="shared" si="40"/>
        <v>770.83333333333337</v>
      </c>
      <c r="D291" s="7">
        <f t="shared" si="41"/>
        <v>0</v>
      </c>
      <c r="E291" s="7">
        <f t="shared" si="42"/>
        <v>770.83333333333337</v>
      </c>
      <c r="F291" s="7">
        <f t="shared" si="43"/>
        <v>185000</v>
      </c>
    </row>
    <row r="292" spans="1:6" x14ac:dyDescent="0.3">
      <c r="A292">
        <v>9</v>
      </c>
      <c r="B292" s="7">
        <f t="shared" si="44"/>
        <v>185000</v>
      </c>
      <c r="C292" s="7">
        <f t="shared" si="40"/>
        <v>770.83333333333337</v>
      </c>
      <c r="D292" s="7">
        <f t="shared" si="41"/>
        <v>0</v>
      </c>
      <c r="E292" s="7">
        <f t="shared" si="42"/>
        <v>770.83333333333337</v>
      </c>
      <c r="F292" s="7">
        <f t="shared" si="43"/>
        <v>185000</v>
      </c>
    </row>
    <row r="293" spans="1:6" x14ac:dyDescent="0.3">
      <c r="A293">
        <v>10</v>
      </c>
      <c r="B293" s="7">
        <f t="shared" si="44"/>
        <v>185000</v>
      </c>
      <c r="C293" s="7">
        <f t="shared" si="40"/>
        <v>770.83333333333337</v>
      </c>
      <c r="D293" s="7">
        <f t="shared" si="41"/>
        <v>0</v>
      </c>
      <c r="E293" s="7">
        <f t="shared" si="42"/>
        <v>770.83333333333337</v>
      </c>
      <c r="F293" s="7">
        <f t="shared" si="43"/>
        <v>185000</v>
      </c>
    </row>
    <row r="294" spans="1:6" x14ac:dyDescent="0.3">
      <c r="A294">
        <v>11</v>
      </c>
      <c r="B294" s="7">
        <f t="shared" si="44"/>
        <v>185000</v>
      </c>
      <c r="C294" s="7">
        <f t="shared" si="40"/>
        <v>770.83333333333337</v>
      </c>
      <c r="D294" s="7">
        <f t="shared" si="41"/>
        <v>0</v>
      </c>
      <c r="E294" s="7">
        <f t="shared" si="42"/>
        <v>770.83333333333337</v>
      </c>
      <c r="F294" s="7">
        <f t="shared" si="43"/>
        <v>185000</v>
      </c>
    </row>
    <row r="295" spans="1:6" x14ac:dyDescent="0.3">
      <c r="A295">
        <v>12</v>
      </c>
      <c r="B295" s="7">
        <f t="shared" si="44"/>
        <v>185000</v>
      </c>
      <c r="C295" s="7">
        <f t="shared" si="40"/>
        <v>770.83333333333337</v>
      </c>
      <c r="D295" s="7">
        <f t="shared" si="41"/>
        <v>0</v>
      </c>
      <c r="E295" s="7">
        <f t="shared" si="42"/>
        <v>770.83333333333337</v>
      </c>
      <c r="F295" s="7">
        <f t="shared" si="43"/>
        <v>185000</v>
      </c>
    </row>
    <row r="296" spans="1:6" x14ac:dyDescent="0.3">
      <c r="A296">
        <v>13</v>
      </c>
      <c r="B296" s="7">
        <f t="shared" si="44"/>
        <v>185000</v>
      </c>
      <c r="C296" s="7">
        <f t="shared" si="40"/>
        <v>770.83333333333337</v>
      </c>
      <c r="D296" s="7">
        <f t="shared" si="41"/>
        <v>0</v>
      </c>
      <c r="E296" s="7">
        <f t="shared" si="42"/>
        <v>770.83333333333337</v>
      </c>
      <c r="F296" s="7">
        <f t="shared" si="43"/>
        <v>185000</v>
      </c>
    </row>
    <row r="297" spans="1:6" x14ac:dyDescent="0.3">
      <c r="A297">
        <v>14</v>
      </c>
      <c r="B297" s="7">
        <f t="shared" si="44"/>
        <v>185000</v>
      </c>
      <c r="C297" s="7">
        <f t="shared" si="40"/>
        <v>770.83333333333337</v>
      </c>
      <c r="D297" s="7">
        <f t="shared" si="41"/>
        <v>0</v>
      </c>
      <c r="E297" s="7">
        <f t="shared" si="42"/>
        <v>770.83333333333337</v>
      </c>
      <c r="F297" s="7">
        <f t="shared" si="43"/>
        <v>185000</v>
      </c>
    </row>
    <row r="298" spans="1:6" x14ac:dyDescent="0.3">
      <c r="A298">
        <v>15</v>
      </c>
      <c r="B298" s="7">
        <f t="shared" si="44"/>
        <v>185000</v>
      </c>
      <c r="C298" s="7">
        <f t="shared" si="40"/>
        <v>770.83333333333337</v>
      </c>
      <c r="D298" s="7">
        <f t="shared" si="41"/>
        <v>0</v>
      </c>
      <c r="E298" s="7">
        <f t="shared" si="42"/>
        <v>770.83333333333337</v>
      </c>
      <c r="F298" s="7">
        <f t="shared" si="43"/>
        <v>185000</v>
      </c>
    </row>
    <row r="299" spans="1:6" x14ac:dyDescent="0.3">
      <c r="A299">
        <v>16</v>
      </c>
      <c r="B299" s="7">
        <f t="shared" si="44"/>
        <v>185000</v>
      </c>
      <c r="C299" s="7">
        <f t="shared" si="40"/>
        <v>770.83333333333337</v>
      </c>
      <c r="D299" s="7">
        <f t="shared" si="41"/>
        <v>0</v>
      </c>
      <c r="E299" s="7">
        <f t="shared" si="42"/>
        <v>770.83333333333337</v>
      </c>
      <c r="F299" s="7">
        <f t="shared" si="43"/>
        <v>185000</v>
      </c>
    </row>
    <row r="300" spans="1:6" x14ac:dyDescent="0.3">
      <c r="A300">
        <v>17</v>
      </c>
      <c r="B300" s="7">
        <f t="shared" si="44"/>
        <v>185000</v>
      </c>
      <c r="C300" s="7">
        <f t="shared" si="40"/>
        <v>770.83333333333337</v>
      </c>
      <c r="D300" s="7">
        <f t="shared" si="41"/>
        <v>0</v>
      </c>
      <c r="E300" s="7">
        <f t="shared" si="42"/>
        <v>770.83333333333337</v>
      </c>
      <c r="F300" s="7">
        <f t="shared" si="43"/>
        <v>185000</v>
      </c>
    </row>
    <row r="301" spans="1:6" x14ac:dyDescent="0.3">
      <c r="A301">
        <v>18</v>
      </c>
      <c r="B301" s="7">
        <f t="shared" si="44"/>
        <v>185000</v>
      </c>
      <c r="C301" s="7">
        <f t="shared" si="40"/>
        <v>770.83333333333337</v>
      </c>
      <c r="D301" s="7">
        <f t="shared" si="41"/>
        <v>0</v>
      </c>
      <c r="E301" s="7">
        <f t="shared" si="42"/>
        <v>770.83333333333337</v>
      </c>
      <c r="F301" s="7">
        <f t="shared" si="43"/>
        <v>185000</v>
      </c>
    </row>
    <row r="302" spans="1:6" x14ac:dyDescent="0.3">
      <c r="A302">
        <v>19</v>
      </c>
      <c r="B302" s="7">
        <f t="shared" si="44"/>
        <v>185000</v>
      </c>
      <c r="C302" s="7">
        <f t="shared" si="40"/>
        <v>770.83333333333337</v>
      </c>
      <c r="D302" s="7">
        <f t="shared" si="41"/>
        <v>0</v>
      </c>
      <c r="E302" s="7">
        <f t="shared" si="42"/>
        <v>770.83333333333337</v>
      </c>
      <c r="F302" s="7">
        <f t="shared" si="43"/>
        <v>185000</v>
      </c>
    </row>
    <row r="303" spans="1:6" x14ac:dyDescent="0.3">
      <c r="A303">
        <v>20</v>
      </c>
      <c r="B303" s="7">
        <f t="shared" si="44"/>
        <v>185000</v>
      </c>
      <c r="C303" s="7">
        <f t="shared" si="40"/>
        <v>770.83333333333337</v>
      </c>
      <c r="D303" s="7">
        <f t="shared" si="41"/>
        <v>0</v>
      </c>
      <c r="E303" s="7">
        <f t="shared" si="42"/>
        <v>770.83333333333337</v>
      </c>
      <c r="F303" s="7">
        <f t="shared" si="43"/>
        <v>185000</v>
      </c>
    </row>
    <row r="304" spans="1:6" x14ac:dyDescent="0.3">
      <c r="A304">
        <v>21</v>
      </c>
      <c r="B304" s="7">
        <f t="shared" si="44"/>
        <v>185000</v>
      </c>
      <c r="C304" s="7">
        <f t="shared" si="40"/>
        <v>770.83333333333337</v>
      </c>
      <c r="D304" s="7">
        <f t="shared" si="41"/>
        <v>0</v>
      </c>
      <c r="E304" s="7">
        <f t="shared" si="42"/>
        <v>770.83333333333337</v>
      </c>
      <c r="F304" s="7">
        <f t="shared" si="43"/>
        <v>185000</v>
      </c>
    </row>
    <row r="305" spans="1:6" x14ac:dyDescent="0.3">
      <c r="A305">
        <v>22</v>
      </c>
      <c r="B305" s="7">
        <f t="shared" si="44"/>
        <v>185000</v>
      </c>
      <c r="C305" s="7">
        <f t="shared" si="40"/>
        <v>770.83333333333337</v>
      </c>
      <c r="D305" s="7">
        <f t="shared" si="41"/>
        <v>0</v>
      </c>
      <c r="E305" s="7">
        <f t="shared" si="42"/>
        <v>770.83333333333337</v>
      </c>
      <c r="F305" s="7">
        <f t="shared" si="43"/>
        <v>185000</v>
      </c>
    </row>
    <row r="306" spans="1:6" x14ac:dyDescent="0.3">
      <c r="A306">
        <v>23</v>
      </c>
      <c r="B306" s="7">
        <f t="shared" si="44"/>
        <v>185000</v>
      </c>
      <c r="C306" s="7">
        <f t="shared" si="40"/>
        <v>770.83333333333337</v>
      </c>
      <c r="D306" s="7">
        <f t="shared" si="41"/>
        <v>0</v>
      </c>
      <c r="E306" s="7">
        <f t="shared" si="42"/>
        <v>770.83333333333337</v>
      </c>
      <c r="F306" s="7">
        <f t="shared" si="43"/>
        <v>185000</v>
      </c>
    </row>
    <row r="307" spans="1:6" x14ac:dyDescent="0.3">
      <c r="A307">
        <v>24</v>
      </c>
      <c r="B307" s="7">
        <f t="shared" si="44"/>
        <v>185000</v>
      </c>
      <c r="C307" s="7">
        <f t="shared" si="40"/>
        <v>770.83333333333337</v>
      </c>
      <c r="D307" s="7">
        <f t="shared" si="41"/>
        <v>0</v>
      </c>
      <c r="E307" s="7">
        <f t="shared" si="42"/>
        <v>770.83333333333337</v>
      </c>
      <c r="F307" s="7">
        <f t="shared" si="43"/>
        <v>185000</v>
      </c>
    </row>
    <row r="308" spans="1:6" x14ac:dyDescent="0.3">
      <c r="A308">
        <v>25</v>
      </c>
      <c r="B308" s="7">
        <f t="shared" si="44"/>
        <v>185000</v>
      </c>
      <c r="C308" s="7">
        <f t="shared" si="40"/>
        <v>770.83333333333337</v>
      </c>
      <c r="D308" s="7">
        <f t="shared" si="41"/>
        <v>2720.3448908086893</v>
      </c>
      <c r="E308" s="7">
        <f t="shared" si="42"/>
        <v>3491.1782241420228</v>
      </c>
      <c r="F308" s="7">
        <f t="shared" si="43"/>
        <v>182279.65510919131</v>
      </c>
    </row>
    <row r="309" spans="1:6" x14ac:dyDescent="0.3">
      <c r="A309">
        <v>26</v>
      </c>
      <c r="B309" s="7">
        <f t="shared" si="44"/>
        <v>182279.65510919131</v>
      </c>
      <c r="C309" s="7">
        <f t="shared" si="40"/>
        <v>759.49856295496386</v>
      </c>
      <c r="D309" s="7">
        <f t="shared" si="41"/>
        <v>2731.6796611870591</v>
      </c>
      <c r="E309" s="7">
        <f t="shared" si="42"/>
        <v>3491.1782241420228</v>
      </c>
      <c r="F309" s="7">
        <f t="shared" si="43"/>
        <v>179547.97544800426</v>
      </c>
    </row>
    <row r="310" spans="1:6" x14ac:dyDescent="0.3">
      <c r="A310">
        <v>27</v>
      </c>
      <c r="B310" s="7">
        <f t="shared" si="44"/>
        <v>179547.97544800426</v>
      </c>
      <c r="C310" s="7">
        <f t="shared" si="40"/>
        <v>748.11656436668443</v>
      </c>
      <c r="D310" s="7">
        <f t="shared" si="41"/>
        <v>2743.0616597753383</v>
      </c>
      <c r="E310" s="7">
        <f t="shared" si="42"/>
        <v>3491.1782241420228</v>
      </c>
      <c r="F310" s="7">
        <f t="shared" si="43"/>
        <v>176804.91378822894</v>
      </c>
    </row>
    <row r="311" spans="1:6" x14ac:dyDescent="0.3">
      <c r="A311">
        <v>28</v>
      </c>
      <c r="B311" s="7">
        <f t="shared" si="44"/>
        <v>176804.91378822894</v>
      </c>
      <c r="C311" s="7">
        <f t="shared" si="40"/>
        <v>736.68714078428729</v>
      </c>
      <c r="D311" s="7">
        <f t="shared" si="41"/>
        <v>2754.4910833577355</v>
      </c>
      <c r="E311" s="7">
        <f t="shared" si="42"/>
        <v>3491.1782241420228</v>
      </c>
      <c r="F311" s="7">
        <f t="shared" si="43"/>
        <v>174050.42270487119</v>
      </c>
    </row>
    <row r="312" spans="1:6" x14ac:dyDescent="0.3">
      <c r="A312">
        <v>29</v>
      </c>
      <c r="B312" s="7">
        <f t="shared" si="44"/>
        <v>174050.42270487119</v>
      </c>
      <c r="C312" s="7">
        <f t="shared" si="40"/>
        <v>725.21009460362995</v>
      </c>
      <c r="D312" s="7">
        <f t="shared" si="41"/>
        <v>2765.968129538393</v>
      </c>
      <c r="E312" s="7">
        <f t="shared" si="42"/>
        <v>3491.1782241420228</v>
      </c>
      <c r="F312" s="7">
        <f t="shared" si="43"/>
        <v>171284.45457533278</v>
      </c>
    </row>
    <row r="313" spans="1:6" x14ac:dyDescent="0.3">
      <c r="A313">
        <v>30</v>
      </c>
      <c r="B313" s="7">
        <f t="shared" si="44"/>
        <v>171284.45457533278</v>
      </c>
      <c r="C313" s="7">
        <f t="shared" si="40"/>
        <v>713.68522739721993</v>
      </c>
      <c r="D313" s="7">
        <f t="shared" si="41"/>
        <v>2777.4929967448029</v>
      </c>
      <c r="E313" s="7">
        <f t="shared" si="42"/>
        <v>3491.1782241420228</v>
      </c>
      <c r="F313" s="7">
        <f t="shared" si="43"/>
        <v>168506.96157858797</v>
      </c>
    </row>
    <row r="314" spans="1:6" x14ac:dyDescent="0.3">
      <c r="A314">
        <v>31</v>
      </c>
      <c r="B314" s="7">
        <f t="shared" si="44"/>
        <v>168506.96157858797</v>
      </c>
      <c r="C314" s="7">
        <f t="shared" si="40"/>
        <v>702.11233991078325</v>
      </c>
      <c r="D314" s="7">
        <f t="shared" si="41"/>
        <v>2789.0658842312396</v>
      </c>
      <c r="E314" s="7">
        <f t="shared" si="42"/>
        <v>3491.1782241420228</v>
      </c>
      <c r="F314" s="7">
        <f t="shared" si="43"/>
        <v>165717.89569435673</v>
      </c>
    </row>
    <row r="315" spans="1:6" x14ac:dyDescent="0.3">
      <c r="A315">
        <v>32</v>
      </c>
      <c r="B315" s="7">
        <f t="shared" si="44"/>
        <v>165717.89569435673</v>
      </c>
      <c r="C315" s="7">
        <f t="shared" si="40"/>
        <v>690.49123205981971</v>
      </c>
      <c r="D315" s="7">
        <f t="shared" si="41"/>
        <v>2800.6869920822032</v>
      </c>
      <c r="E315" s="7">
        <f t="shared" si="42"/>
        <v>3491.1782241420228</v>
      </c>
      <c r="F315" s="7">
        <f t="shared" si="43"/>
        <v>162917.20870227454</v>
      </c>
    </row>
    <row r="316" spans="1:6" x14ac:dyDescent="0.3">
      <c r="A316">
        <v>33</v>
      </c>
      <c r="B316" s="7">
        <f t="shared" si="44"/>
        <v>162917.20870227454</v>
      </c>
      <c r="C316" s="7">
        <f t="shared" ref="C316:C347" si="45">B316*D$282/12</f>
        <v>678.82170292614398</v>
      </c>
      <c r="D316" s="7">
        <f t="shared" ref="D316:D343" si="46">IF(A316&lt;=H$282,0,MIN(B316,IF(D$282=0,J$282,J$282-B316*D$282/12)))</f>
        <v>2812.3565212158787</v>
      </c>
      <c r="E316" s="7">
        <f t="shared" ref="E316:E347" si="47">C316+D316</f>
        <v>3491.1782241420228</v>
      </c>
      <c r="F316" s="7">
        <f t="shared" ref="F316:F343" si="48">B316-D316</f>
        <v>160104.85218105867</v>
      </c>
    </row>
    <row r="317" spans="1:6" x14ac:dyDescent="0.3">
      <c r="A317">
        <v>34</v>
      </c>
      <c r="B317" s="7">
        <f t="shared" ref="B317:B343" si="49">F316</f>
        <v>160104.85218105867</v>
      </c>
      <c r="C317" s="7">
        <f t="shared" si="45"/>
        <v>667.10355075441112</v>
      </c>
      <c r="D317" s="7">
        <f t="shared" si="46"/>
        <v>2824.0746733876117</v>
      </c>
      <c r="E317" s="7">
        <f t="shared" si="47"/>
        <v>3491.1782241420228</v>
      </c>
      <c r="F317" s="7">
        <f t="shared" si="48"/>
        <v>157280.77750767107</v>
      </c>
    </row>
    <row r="318" spans="1:6" x14ac:dyDescent="0.3">
      <c r="A318">
        <v>35</v>
      </c>
      <c r="B318" s="7">
        <f t="shared" si="49"/>
        <v>157280.77750767107</v>
      </c>
      <c r="C318" s="7">
        <f t="shared" si="45"/>
        <v>655.33657294862951</v>
      </c>
      <c r="D318" s="7">
        <f t="shared" si="46"/>
        <v>2835.8416511933933</v>
      </c>
      <c r="E318" s="7">
        <f t="shared" si="47"/>
        <v>3491.1782241420228</v>
      </c>
      <c r="F318" s="7">
        <f t="shared" si="48"/>
        <v>154444.93585647768</v>
      </c>
    </row>
    <row r="319" spans="1:6" x14ac:dyDescent="0.3">
      <c r="A319">
        <v>36</v>
      </c>
      <c r="B319" s="7">
        <f t="shared" si="49"/>
        <v>154444.93585647768</v>
      </c>
      <c r="C319" s="7">
        <f t="shared" si="45"/>
        <v>643.52056606865699</v>
      </c>
      <c r="D319" s="7">
        <f t="shared" si="46"/>
        <v>2847.6576580733658</v>
      </c>
      <c r="E319" s="7">
        <f t="shared" si="47"/>
        <v>3491.1782241420228</v>
      </c>
      <c r="F319" s="7">
        <f t="shared" si="48"/>
        <v>151597.27819840432</v>
      </c>
    </row>
    <row r="320" spans="1:6" x14ac:dyDescent="0.3">
      <c r="A320">
        <v>37</v>
      </c>
      <c r="B320" s="7">
        <f t="shared" si="49"/>
        <v>151597.27819840432</v>
      </c>
      <c r="C320" s="7">
        <f t="shared" si="45"/>
        <v>631.6553258266847</v>
      </c>
      <c r="D320" s="7">
        <f t="shared" si="46"/>
        <v>2859.5228983153384</v>
      </c>
      <c r="E320" s="7">
        <f t="shared" si="47"/>
        <v>3491.1782241420233</v>
      </c>
      <c r="F320" s="7">
        <f t="shared" si="48"/>
        <v>148737.75530008899</v>
      </c>
    </row>
    <row r="321" spans="1:6" x14ac:dyDescent="0.3">
      <c r="A321">
        <v>38</v>
      </c>
      <c r="B321" s="7">
        <f t="shared" si="49"/>
        <v>148737.75530008899</v>
      </c>
      <c r="C321" s="7">
        <f t="shared" si="45"/>
        <v>619.74064708370418</v>
      </c>
      <c r="D321" s="7">
        <f t="shared" si="46"/>
        <v>2871.4375770583188</v>
      </c>
      <c r="E321" s="7">
        <f t="shared" si="47"/>
        <v>3491.1782241420228</v>
      </c>
      <c r="F321" s="7">
        <f t="shared" si="48"/>
        <v>145866.31772303066</v>
      </c>
    </row>
    <row r="322" spans="1:6" x14ac:dyDescent="0.3">
      <c r="A322">
        <v>39</v>
      </c>
      <c r="B322" s="7">
        <f t="shared" si="49"/>
        <v>145866.31772303066</v>
      </c>
      <c r="C322" s="7">
        <f t="shared" si="45"/>
        <v>607.77632384596109</v>
      </c>
      <c r="D322" s="7">
        <f t="shared" si="46"/>
        <v>2883.4019002960617</v>
      </c>
      <c r="E322" s="7">
        <f t="shared" si="47"/>
        <v>3491.1782241420228</v>
      </c>
      <c r="F322" s="7">
        <f t="shared" si="48"/>
        <v>142982.91582273459</v>
      </c>
    </row>
    <row r="323" spans="1:6" x14ac:dyDescent="0.3">
      <c r="A323">
        <v>40</v>
      </c>
      <c r="B323" s="7">
        <f t="shared" si="49"/>
        <v>142982.91582273459</v>
      </c>
      <c r="C323" s="7">
        <f t="shared" si="45"/>
        <v>595.76214926139414</v>
      </c>
      <c r="D323" s="7">
        <f t="shared" si="46"/>
        <v>2895.4160748806289</v>
      </c>
      <c r="E323" s="7">
        <f t="shared" si="47"/>
        <v>3491.1782241420233</v>
      </c>
      <c r="F323" s="7">
        <f t="shared" si="48"/>
        <v>140087.49974785396</v>
      </c>
    </row>
    <row r="324" spans="1:6" x14ac:dyDescent="0.3">
      <c r="A324">
        <v>41</v>
      </c>
      <c r="B324" s="7">
        <f t="shared" si="49"/>
        <v>140087.49974785396</v>
      </c>
      <c r="C324" s="7">
        <f t="shared" si="45"/>
        <v>583.69791561605814</v>
      </c>
      <c r="D324" s="7">
        <f t="shared" si="46"/>
        <v>2907.4803085259646</v>
      </c>
      <c r="E324" s="7">
        <f t="shared" si="47"/>
        <v>3491.1782241420228</v>
      </c>
      <c r="F324" s="7">
        <f t="shared" si="48"/>
        <v>137180.019439328</v>
      </c>
    </row>
    <row r="325" spans="1:6" x14ac:dyDescent="0.3">
      <c r="A325">
        <v>42</v>
      </c>
      <c r="B325" s="7">
        <f t="shared" si="49"/>
        <v>137180.019439328</v>
      </c>
      <c r="C325" s="7">
        <f t="shared" si="45"/>
        <v>571.5834143305334</v>
      </c>
      <c r="D325" s="7">
        <f t="shared" si="46"/>
        <v>2919.5948098114895</v>
      </c>
      <c r="E325" s="7">
        <f t="shared" si="47"/>
        <v>3491.1782241420228</v>
      </c>
      <c r="F325" s="7">
        <f t="shared" si="48"/>
        <v>134260.42462951649</v>
      </c>
    </row>
    <row r="326" spans="1:6" x14ac:dyDescent="0.3">
      <c r="A326">
        <v>43</v>
      </c>
      <c r="B326" s="7">
        <f t="shared" si="49"/>
        <v>134260.42462951649</v>
      </c>
      <c r="C326" s="7">
        <f t="shared" si="45"/>
        <v>559.41843595631872</v>
      </c>
      <c r="D326" s="7">
        <f t="shared" si="46"/>
        <v>2931.7597881857041</v>
      </c>
      <c r="E326" s="7">
        <f t="shared" si="47"/>
        <v>3491.1782241420228</v>
      </c>
      <c r="F326" s="7">
        <f t="shared" si="48"/>
        <v>131328.66484133078</v>
      </c>
    </row>
    <row r="327" spans="1:6" x14ac:dyDescent="0.3">
      <c r="A327">
        <v>44</v>
      </c>
      <c r="B327" s="7">
        <f t="shared" si="49"/>
        <v>131328.66484133078</v>
      </c>
      <c r="C327" s="7">
        <f t="shared" si="45"/>
        <v>547.20277017221167</v>
      </c>
      <c r="D327" s="7">
        <f t="shared" si="46"/>
        <v>2943.975453969811</v>
      </c>
      <c r="E327" s="7">
        <f t="shared" si="47"/>
        <v>3491.1782241420228</v>
      </c>
      <c r="F327" s="7">
        <f t="shared" si="48"/>
        <v>128384.68938736098</v>
      </c>
    </row>
    <row r="328" spans="1:6" x14ac:dyDescent="0.3">
      <c r="A328">
        <v>45</v>
      </c>
      <c r="B328" s="7">
        <f t="shared" si="49"/>
        <v>128384.68938736098</v>
      </c>
      <c r="C328" s="7">
        <f t="shared" si="45"/>
        <v>534.93620578067078</v>
      </c>
      <c r="D328" s="7">
        <f t="shared" si="46"/>
        <v>2956.2420183613522</v>
      </c>
      <c r="E328" s="7">
        <f t="shared" si="47"/>
        <v>3491.1782241420228</v>
      </c>
      <c r="F328" s="7">
        <f t="shared" si="48"/>
        <v>125428.44736899962</v>
      </c>
    </row>
    <row r="329" spans="1:6" x14ac:dyDescent="0.3">
      <c r="A329">
        <v>46</v>
      </c>
      <c r="B329" s="7">
        <f t="shared" si="49"/>
        <v>125428.44736899962</v>
      </c>
      <c r="C329" s="7">
        <f t="shared" si="45"/>
        <v>522.6185307041651</v>
      </c>
      <c r="D329" s="7">
        <f t="shared" si="46"/>
        <v>2968.5596934378577</v>
      </c>
      <c r="E329" s="7">
        <f t="shared" si="47"/>
        <v>3491.1782241420228</v>
      </c>
      <c r="F329" s="7">
        <f t="shared" si="48"/>
        <v>122459.88767556177</v>
      </c>
    </row>
    <row r="330" spans="1:6" x14ac:dyDescent="0.3">
      <c r="A330">
        <v>47</v>
      </c>
      <c r="B330" s="7">
        <f t="shared" si="49"/>
        <v>122459.88767556177</v>
      </c>
      <c r="C330" s="7">
        <f t="shared" si="45"/>
        <v>510.24953198150735</v>
      </c>
      <c r="D330" s="7">
        <f t="shared" si="46"/>
        <v>2980.9286921605153</v>
      </c>
      <c r="E330" s="7">
        <f t="shared" si="47"/>
        <v>3491.1782241420228</v>
      </c>
      <c r="F330" s="7">
        <f t="shared" si="48"/>
        <v>119478.95898340126</v>
      </c>
    </row>
    <row r="331" spans="1:6" x14ac:dyDescent="0.3">
      <c r="A331">
        <v>48</v>
      </c>
      <c r="B331" s="7">
        <f t="shared" si="49"/>
        <v>119478.95898340126</v>
      </c>
      <c r="C331" s="7">
        <f t="shared" si="45"/>
        <v>497.82899576417191</v>
      </c>
      <c r="D331" s="7">
        <f t="shared" si="46"/>
        <v>2993.349228377851</v>
      </c>
      <c r="E331" s="7">
        <f t="shared" si="47"/>
        <v>3491.1782241420228</v>
      </c>
      <c r="F331" s="7">
        <f t="shared" si="48"/>
        <v>116485.60975502341</v>
      </c>
    </row>
    <row r="332" spans="1:6" x14ac:dyDescent="0.3">
      <c r="A332">
        <v>49</v>
      </c>
      <c r="B332" s="7">
        <f t="shared" si="49"/>
        <v>116485.60975502341</v>
      </c>
      <c r="C332" s="7">
        <f t="shared" si="45"/>
        <v>485.35670731259756</v>
      </c>
      <c r="D332" s="7">
        <f t="shared" si="46"/>
        <v>3005.8215168294255</v>
      </c>
      <c r="E332" s="7">
        <f t="shared" si="47"/>
        <v>3491.1782241420233</v>
      </c>
      <c r="F332" s="7">
        <f t="shared" si="48"/>
        <v>113479.78823819399</v>
      </c>
    </row>
    <row r="333" spans="1:6" x14ac:dyDescent="0.3">
      <c r="A333">
        <v>50</v>
      </c>
      <c r="B333" s="7">
        <f t="shared" si="49"/>
        <v>113479.78823819399</v>
      </c>
      <c r="C333" s="7">
        <f t="shared" si="45"/>
        <v>472.832450992475</v>
      </c>
      <c r="D333" s="7">
        <f t="shared" si="46"/>
        <v>3018.3457731495478</v>
      </c>
      <c r="E333" s="7">
        <f t="shared" si="47"/>
        <v>3491.1782241420228</v>
      </c>
      <c r="F333" s="7">
        <f t="shared" si="48"/>
        <v>110461.44246504444</v>
      </c>
    </row>
    <row r="334" spans="1:6" x14ac:dyDescent="0.3">
      <c r="A334">
        <v>51</v>
      </c>
      <c r="B334" s="7">
        <f t="shared" si="49"/>
        <v>110461.44246504444</v>
      </c>
      <c r="C334" s="7">
        <f t="shared" si="45"/>
        <v>460.25601027101857</v>
      </c>
      <c r="D334" s="7">
        <f t="shared" si="46"/>
        <v>3030.9222138710043</v>
      </c>
      <c r="E334" s="7">
        <f t="shared" si="47"/>
        <v>3491.1782241420228</v>
      </c>
      <c r="F334" s="7">
        <f t="shared" si="48"/>
        <v>107430.52025117344</v>
      </c>
    </row>
    <row r="335" spans="1:6" x14ac:dyDescent="0.3">
      <c r="A335">
        <v>52</v>
      </c>
      <c r="B335" s="7">
        <f t="shared" si="49"/>
        <v>107430.52025117344</v>
      </c>
      <c r="C335" s="7">
        <f t="shared" si="45"/>
        <v>447.62716771322266</v>
      </c>
      <c r="D335" s="7">
        <f t="shared" si="46"/>
        <v>3043.5510564288002</v>
      </c>
      <c r="E335" s="7">
        <f t="shared" si="47"/>
        <v>3491.1782241420228</v>
      </c>
      <c r="F335" s="7">
        <f t="shared" si="48"/>
        <v>104386.96919474464</v>
      </c>
    </row>
    <row r="336" spans="1:6" x14ac:dyDescent="0.3">
      <c r="A336">
        <v>53</v>
      </c>
      <c r="B336" s="7">
        <f t="shared" si="49"/>
        <v>104386.96919474464</v>
      </c>
      <c r="C336" s="7">
        <f t="shared" si="45"/>
        <v>434.9457049781027</v>
      </c>
      <c r="D336" s="7">
        <f t="shared" si="46"/>
        <v>3056.2325191639202</v>
      </c>
      <c r="E336" s="7">
        <f t="shared" si="47"/>
        <v>3491.1782241420228</v>
      </c>
      <c r="F336" s="7">
        <f t="shared" si="48"/>
        <v>101330.73667558072</v>
      </c>
    </row>
    <row r="337" spans="1:6" x14ac:dyDescent="0.3">
      <c r="A337">
        <v>54</v>
      </c>
      <c r="B337" s="7">
        <f t="shared" si="49"/>
        <v>101330.73667558072</v>
      </c>
      <c r="C337" s="7">
        <f t="shared" si="45"/>
        <v>422.21140281491967</v>
      </c>
      <c r="D337" s="7">
        <f t="shared" si="46"/>
        <v>3068.9668213271034</v>
      </c>
      <c r="E337" s="7">
        <f t="shared" si="47"/>
        <v>3491.1782241420233</v>
      </c>
      <c r="F337" s="7">
        <f t="shared" si="48"/>
        <v>98261.769854253609</v>
      </c>
    </row>
    <row r="338" spans="1:6" x14ac:dyDescent="0.3">
      <c r="A338">
        <v>55</v>
      </c>
      <c r="B338" s="7">
        <f t="shared" si="49"/>
        <v>98261.769854253609</v>
      </c>
      <c r="C338" s="7">
        <f t="shared" si="45"/>
        <v>409.42404105939005</v>
      </c>
      <c r="D338" s="7">
        <f t="shared" si="46"/>
        <v>3081.7541830826326</v>
      </c>
      <c r="E338" s="7">
        <f t="shared" si="47"/>
        <v>3491.1782241420228</v>
      </c>
      <c r="F338" s="7">
        <f t="shared" si="48"/>
        <v>95180.015671170971</v>
      </c>
    </row>
    <row r="339" spans="1:6" x14ac:dyDescent="0.3">
      <c r="A339">
        <v>56</v>
      </c>
      <c r="B339" s="7">
        <f t="shared" si="49"/>
        <v>95180.015671170971</v>
      </c>
      <c r="C339" s="7">
        <f t="shared" si="45"/>
        <v>396.58339862987901</v>
      </c>
      <c r="D339" s="7">
        <f t="shared" si="46"/>
        <v>3094.5948255121439</v>
      </c>
      <c r="E339" s="7">
        <f t="shared" si="47"/>
        <v>3491.1782241420228</v>
      </c>
      <c r="F339" s="7">
        <f t="shared" si="48"/>
        <v>92085.420845658824</v>
      </c>
    </row>
    <row r="340" spans="1:6" x14ac:dyDescent="0.3">
      <c r="A340">
        <v>57</v>
      </c>
      <c r="B340" s="7">
        <f t="shared" si="49"/>
        <v>92085.420845658824</v>
      </c>
      <c r="C340" s="7">
        <f t="shared" si="45"/>
        <v>383.68925352357843</v>
      </c>
      <c r="D340" s="7">
        <f t="shared" si="46"/>
        <v>3107.4889706184445</v>
      </c>
      <c r="E340" s="7">
        <f t="shared" si="47"/>
        <v>3491.1782241420228</v>
      </c>
      <c r="F340" s="7">
        <f t="shared" si="48"/>
        <v>88977.931875040376</v>
      </c>
    </row>
    <row r="341" spans="1:6" x14ac:dyDescent="0.3">
      <c r="A341">
        <v>58</v>
      </c>
      <c r="B341" s="7">
        <f t="shared" si="49"/>
        <v>88977.931875040376</v>
      </c>
      <c r="C341" s="7">
        <f t="shared" si="45"/>
        <v>370.74138281266823</v>
      </c>
      <c r="D341" s="7">
        <f t="shared" si="46"/>
        <v>3120.4368413293546</v>
      </c>
      <c r="E341" s="7">
        <f t="shared" si="47"/>
        <v>3491.1782241420228</v>
      </c>
      <c r="F341" s="7">
        <f t="shared" si="48"/>
        <v>85857.49503371102</v>
      </c>
    </row>
    <row r="342" spans="1:6" x14ac:dyDescent="0.3">
      <c r="A342">
        <v>59</v>
      </c>
      <c r="B342" s="7">
        <f t="shared" si="49"/>
        <v>85857.49503371102</v>
      </c>
      <c r="C342" s="7">
        <f t="shared" si="45"/>
        <v>357.73956264046257</v>
      </c>
      <c r="D342" s="7">
        <f t="shared" si="46"/>
        <v>3133.4386615015601</v>
      </c>
      <c r="E342" s="7">
        <f t="shared" si="47"/>
        <v>3491.1782241420228</v>
      </c>
      <c r="F342" s="7">
        <f t="shared" si="48"/>
        <v>82724.056372209467</v>
      </c>
    </row>
    <row r="343" spans="1:6" x14ac:dyDescent="0.3">
      <c r="A343">
        <v>60</v>
      </c>
      <c r="B343" s="7">
        <f t="shared" si="49"/>
        <v>82724.056372209467</v>
      </c>
      <c r="C343" s="7">
        <f t="shared" si="45"/>
        <v>344.68356821753946</v>
      </c>
      <c r="D343" s="7">
        <f t="shared" si="46"/>
        <v>3146.4946559244836</v>
      </c>
      <c r="E343" s="7">
        <f t="shared" si="47"/>
        <v>3491.1782241420233</v>
      </c>
      <c r="F343" s="7">
        <f t="shared" si="48"/>
        <v>79577.561716284981</v>
      </c>
    </row>
    <row r="344" spans="1:6" x14ac:dyDescent="0.3">
      <c r="A344" s="1" t="s">
        <v>171</v>
      </c>
      <c r="B344" s="1" t="s">
        <v>167</v>
      </c>
      <c r="C344" s="1" t="s">
        <v>168</v>
      </c>
      <c r="D344" s="1" t="s">
        <v>172</v>
      </c>
      <c r="E344" s="1" t="s">
        <v>170</v>
      </c>
    </row>
    <row r="345" spans="1:6" x14ac:dyDescent="0.3">
      <c r="A345" t="s">
        <v>24</v>
      </c>
      <c r="B345" s="7">
        <f>SUM(C284:C295)</f>
        <v>9250</v>
      </c>
      <c r="C345" s="7">
        <f>SUM(D284:D295)</f>
        <v>0</v>
      </c>
      <c r="D345" s="7">
        <f>B345+C345</f>
        <v>9250</v>
      </c>
      <c r="E345" s="7">
        <f>F295</f>
        <v>185000</v>
      </c>
    </row>
    <row r="346" spans="1:6" x14ac:dyDescent="0.3">
      <c r="A346" t="s">
        <v>25</v>
      </c>
      <c r="B346" s="7">
        <f>SUM(C296:C307)</f>
        <v>9250</v>
      </c>
      <c r="C346" s="7">
        <f>SUM(D296:D307)</f>
        <v>0</v>
      </c>
      <c r="D346" s="7">
        <f>B346+C346</f>
        <v>9250</v>
      </c>
      <c r="E346" s="7">
        <f>F307</f>
        <v>185000</v>
      </c>
    </row>
    <row r="347" spans="1:6" x14ac:dyDescent="0.3">
      <c r="A347" t="s">
        <v>26</v>
      </c>
      <c r="B347" s="7">
        <f>SUM(C308:C319)</f>
        <v>8491.4168881085643</v>
      </c>
      <c r="C347" s="7">
        <f>SUM(D308:D319)</f>
        <v>33402.721801595711</v>
      </c>
      <c r="D347" s="7">
        <f>B347+C347</f>
        <v>41894.138689704276</v>
      </c>
      <c r="E347" s="7">
        <f>F319</f>
        <v>151597.27819840432</v>
      </c>
    </row>
    <row r="348" spans="1:6" x14ac:dyDescent="0.3">
      <c r="A348" t="s">
        <v>27</v>
      </c>
      <c r="B348" s="7">
        <f>SUM(C320:C331)</f>
        <v>6782.4702463233816</v>
      </c>
      <c r="C348" s="7">
        <f>SUM(D320:D331)</f>
        <v>35111.668443380899</v>
      </c>
      <c r="D348" s="7">
        <f>B348+C348</f>
        <v>41894.138689704283</v>
      </c>
      <c r="E348" s="7">
        <f>F331</f>
        <v>116485.60975502341</v>
      </c>
    </row>
    <row r="349" spans="1:6" x14ac:dyDescent="0.3">
      <c r="A349" t="s">
        <v>28</v>
      </c>
      <c r="B349" s="7">
        <f>SUM(C332:C343)</f>
        <v>4986.0906509658544</v>
      </c>
      <c r="C349" s="7">
        <f>SUM(D332:D343)</f>
        <v>36908.048038738423</v>
      </c>
      <c r="D349" s="7">
        <f>B349+C349</f>
        <v>41894.138689704276</v>
      </c>
      <c r="E349" s="7">
        <f>F343</f>
        <v>79577.561716284981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2" customWidth="1"/>
    <col min="2" max="7" width="15" customWidth="1"/>
  </cols>
  <sheetData>
    <row r="1" spans="1:7" x14ac:dyDescent="0.3">
      <c r="A1" s="1"/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">
      <c r="A2" s="2" t="s">
        <v>173</v>
      </c>
    </row>
    <row r="3" spans="1:7" x14ac:dyDescent="0.3">
      <c r="A3" t="s">
        <v>174</v>
      </c>
      <c r="B3" s="7">
        <f>Hypothèses!$B$4</f>
        <v>791894.29</v>
      </c>
      <c r="C3" s="7">
        <f>Hypothèses!$B$4*(1+Hypothèses!$B$3)^1*Hypothèses!$C$14</f>
        <v>815651.11870000011</v>
      </c>
      <c r="D3" s="7">
        <f>Hypothèses!$B$4*(1+Hypothèses!$B$3)^2*Hypothèses!$D$14</f>
        <v>856923.06530621997</v>
      </c>
      <c r="E3" s="7">
        <f>Hypothèses!$B$4*(1+Hypothèses!$B$3)^3*Hypothèses!$E$14</f>
        <v>891283.99998369499</v>
      </c>
      <c r="F3" s="7">
        <f>Hypothèses!$B$4*(1+Hypothèses!$B$3)^4*Hypothèses!$F$14</f>
        <v>926935.3599830427</v>
      </c>
      <c r="G3" s="7">
        <f>Hypothèses!$B$4*(1+Hypothèses!$B$3)^5*Hypothèses!$G$14</f>
        <v>954743.42078253394</v>
      </c>
    </row>
    <row r="4" spans="1:7" x14ac:dyDescent="0.3">
      <c r="A4" t="s">
        <v>175</v>
      </c>
      <c r="B4" s="7">
        <f>Hypothèses!$B$5</f>
        <v>43208.71</v>
      </c>
      <c r="C4" s="7">
        <f>Hypothèses!$C$15*Hypothèses!$B$48*(1+Hypothèses!$B$3)^0</f>
        <v>109500</v>
      </c>
      <c r="D4" s="7">
        <f>Hypothèses!$D$15*Hypothèses!$B$48*(1+Hypothèses!$B$3)^1</f>
        <v>169177.5</v>
      </c>
      <c r="E4" s="7">
        <f>Hypothèses!$E$15*Hypothèses!$B$48*(1+Hypothèses!$B$3)^2</f>
        <v>224592.53</v>
      </c>
      <c r="F4" s="7">
        <f>Hypothèses!$F$15*Hypothèses!$B$48*(1+Hypothèses!$B$3)^3</f>
        <v>263237.93430000002</v>
      </c>
      <c r="G4" s="7">
        <f>Hypothèses!$G$15*Hypothèses!$B$48*(1+Hypothèses!$B$3)^4</f>
        <v>287567.500955</v>
      </c>
    </row>
    <row r="5" spans="1:7" x14ac:dyDescent="0.3">
      <c r="A5" t="s">
        <v>176</v>
      </c>
      <c r="B5" s="7">
        <f>Hypothèses!$B$6</f>
        <v>497722.97</v>
      </c>
      <c r="C5" s="7">
        <f>Hypothèses!$B$38*(184*Hypothèses!$C$16*Hypothèses!$B$39*(1+Hypothèses!$B$3)^0+181*Hypothèses!$C$18*Hypothèses!$C$17*Hypothèses!$B$40*(1+Hypothèses!$B$3)^0)</f>
        <v>423160.96</v>
      </c>
      <c r="D5" s="7">
        <f>Hypothèses!$B$38*(184*Hypothèses!$D$16*Hypothèses!$B$39*(1+Hypothèses!$B$3)^1+181*Hypothèses!$D$18*Hypothèses!$D$17*Hypothèses!$B$40*(1+Hypothèses!$B$3)^1)</f>
        <v>547435.93599999999</v>
      </c>
      <c r="E5" s="7">
        <f>Hypothèses!$B$38*(184*Hypothèses!$E$16*Hypothèses!$B$39*(1+Hypothèses!$B$3)^2+181*Hypothèses!$E$18*Hypothèses!$E$17*Hypothèses!$B$40*(1+Hypothèses!$B$3)^2)</f>
        <v>604346.35296000005</v>
      </c>
      <c r="F5" s="7">
        <f>Hypothèses!$B$38*(184*Hypothèses!$F$16*Hypothèses!$B$39*(1+Hypothèses!$B$3)^3+181*Hypothèses!$F$18*Hypothèses!$F$17*Hypothèses!$B$40*(1+Hypothèses!$B$3)^3)</f>
        <v>650887.64554880001</v>
      </c>
      <c r="G5" s="7">
        <f>Hypothèses!$B$38*(184*Hypothèses!$G$16*Hypothèses!$B$39*(1+Hypothèses!$B$3)^4+181*Hypothèses!$G$18*Hypothèses!$G$17*Hypothèses!$B$40*(1+Hypothèses!$B$3)^4)</f>
        <v>685045.88944526389</v>
      </c>
    </row>
    <row r="6" spans="1:7" x14ac:dyDescent="0.3">
      <c r="A6" t="s">
        <v>177</v>
      </c>
      <c r="B6" s="7">
        <f>0</f>
        <v>0</v>
      </c>
      <c r="C6" s="7">
        <f>Hypothèses!$B$41*(184*Hypothèses!$C$21*Hypothèses!$C$19*Hypothèses!$B$42*(1+Hypothèses!$B$3)^0+181*Hypothèses!$C$20*Hypothèses!$B$43*(1+Hypothèses!$B$3)^0)</f>
        <v>222098.5</v>
      </c>
      <c r="D6" s="7">
        <f>Hypothèses!$B$41*(184*Hypothèses!$D$21*Hypothèses!$D$19*Hypothèses!$B$42*(1+Hypothèses!$B$3)^1+181*Hypothèses!$D$20*Hypothèses!$B$43*(1+Hypothèses!$B$3)^1)</f>
        <v>467648.42799999996</v>
      </c>
      <c r="E6" s="7">
        <f>Hypothèses!$B$41*(184*Hypothèses!$E$21*Hypothèses!$E$19*Hypothèses!$B$42*(1+Hypothèses!$B$3)^2+181*Hypothèses!$E$20*Hypothèses!$B$43*(1+Hypothèses!$B$3)^2)</f>
        <v>541034.59929999989</v>
      </c>
      <c r="F6" s="7">
        <f>Hypothèses!$B$41*(184*Hypothèses!$F$21*Hypothèses!$F$19*Hypothèses!$B$42*(1+Hypothèses!$B$3)^3+181*Hypothèses!$F$20*Hypothèses!$B$43*(1+Hypothèses!$B$3)^3)</f>
        <v>585128.91914295009</v>
      </c>
      <c r="G6" s="7">
        <f>Hypothèses!$B$41*(184*Hypothèses!$G$21*Hypothèses!$G$19*Hypothèses!$B$42*(1+Hypothèses!$B$3)^4+181*Hypothèses!$G$20*Hypothèses!$B$43*(1+Hypothèses!$B$3)^4)</f>
        <v>623978.37008492695</v>
      </c>
    </row>
    <row r="7" spans="1:7" x14ac:dyDescent="0.3">
      <c r="A7" t="s">
        <v>178</v>
      </c>
      <c r="B7" s="7">
        <f>0</f>
        <v>0</v>
      </c>
      <c r="C7" s="7">
        <f>Hypothèses!$C$22*365*Hypothèses!$C$23*Hypothèses!$B$44*(1+Hypothèses!$B$3)^0</f>
        <v>279133.75</v>
      </c>
      <c r="D7" s="7">
        <f>Hypothèses!$D$22*365*Hypothèses!$D$23*Hypothèses!$B$44*(1+Hypothèses!$B$3)^1</f>
        <v>510013.77</v>
      </c>
      <c r="E7" s="7">
        <f>Hypothèses!$E$22*365*Hypothèses!$E$23*Hypothèses!$B$44*(1+Hypothèses!$B$3)^2</f>
        <v>600359.06640000001</v>
      </c>
      <c r="F7" s="7">
        <f>Hypothèses!$F$22*365*Hypothèses!$F$23*Hypothèses!$B$44*(1+Hypothèses!$B$3)^3</f>
        <v>669900.65825800004</v>
      </c>
      <c r="G7" s="7">
        <f>Hypothèses!$G$22*365*Hypothèses!$G$23*Hypothèses!$B$44*(1+Hypothèses!$B$3)^4</f>
        <v>729805.23635222507</v>
      </c>
    </row>
    <row r="8" spans="1:7" x14ac:dyDescent="0.3">
      <c r="A8" t="s">
        <v>179</v>
      </c>
      <c r="B8" s="7">
        <f>Hypothèses!$B$7</f>
        <v>199015.63</v>
      </c>
      <c r="C8" s="7">
        <f>Hypothèses!$B$7*(1+Hypothèses!$B$3)^1*Hypothèses!$C$24</f>
        <v>204986.09890000001</v>
      </c>
      <c r="D8" s="7">
        <f>Hypothèses!$B$7*(1+Hypothèses!$B$3)^2*Hypothèses!$D$24</f>
        <v>215358.39550434001</v>
      </c>
      <c r="E8" s="7">
        <f>Hypothèses!$B$7*(1+Hypothèses!$B$3)^3*Hypothèses!$E$24</f>
        <v>226168.54241593042</v>
      </c>
      <c r="F8" s="7">
        <f>Hypothèses!$B$7*(1+Hypothèses!$B$3)^4*Hypothèses!$F$24</f>
        <v>235193.53713733531</v>
      </c>
      <c r="G8" s="7">
        <f>Hypothèses!$B$7*(1+Hypothèses!$B$3)^5*Hypothèses!$G$24</f>
        <v>242249.34325145534</v>
      </c>
    </row>
    <row r="9" spans="1:7" x14ac:dyDescent="0.3">
      <c r="A9" t="s">
        <v>180</v>
      </c>
      <c r="B9" s="7">
        <f>0</f>
        <v>0</v>
      </c>
      <c r="C9" s="7">
        <f>Hypothèses!$B$45*(184*Hypothèses!$C$27*Hypothèses!$C$25*Hypothèses!$B$46*(1+Hypothèses!$B$3)^0+181*Hypothèses!$C$26*Hypothèses!$B$47*(1+Hypothèses!$B$3)^0)</f>
        <v>228778.2</v>
      </c>
      <c r="D9" s="7">
        <f>Hypothèses!$B$45*(184*Hypothèses!$D$27*Hypothèses!$D$25*Hypothèses!$B$46*(1+Hypothèses!$B$3)^1+181*Hypothèses!$D$26*Hypothèses!$B$47*(1+Hypothèses!$B$3)^1)</f>
        <v>320418.75509999995</v>
      </c>
      <c r="E9" s="7">
        <f>Hypothèses!$B$45*(184*Hypothèses!$E$27*Hypothèses!$E$25*Hypothèses!$B$46*(1+Hypothèses!$B$3)^2+181*Hypothèses!$E$26*Hypothèses!$B$47*(1+Hypothèses!$B$3)^2)</f>
        <v>359085.70864799997</v>
      </c>
      <c r="F9" s="7">
        <f>Hypothèses!$B$45*(184*Hypothèses!$F$27*Hypothèses!$F$25*Hypothèses!$B$46*(1+Hypothèses!$B$3)^3+181*Hypothèses!$F$26*Hypothèses!$B$47*(1+Hypothèses!$B$3)^3)</f>
        <v>385085.88959778001</v>
      </c>
      <c r="G9" s="7">
        <f>Hypothèses!$B$45*(184*Hypothèses!$G$27*Hypothèses!$G$25*Hypothèses!$B$46*(1+Hypothèses!$B$3)^4+181*Hypothèses!$G$26*Hypothèses!$B$47*(1+Hypothèses!$B$3)^4)</f>
        <v>400287.03945017845</v>
      </c>
    </row>
    <row r="10" spans="1:7" x14ac:dyDescent="0.3">
      <c r="A10" t="s">
        <v>181</v>
      </c>
      <c r="B10" s="7">
        <f>Hypothèses!$B$10</f>
        <v>76667.149999999994</v>
      </c>
      <c r="C10" s="7">
        <f>Hypothèses!$B$11*(1+Hypothèses!$B$3)^1</f>
        <v>92872.164499999999</v>
      </c>
      <c r="D10" s="7">
        <f>Hypothèses!$B$11*(1+Hypothèses!$B$3)^2</f>
        <v>95658.329434999992</v>
      </c>
      <c r="E10" s="7">
        <f>Hypothèses!$B$11*(1+Hypothèses!$B$3)^3</f>
        <v>98528.07931804999</v>
      </c>
      <c r="F10" s="7">
        <f>Hypothèses!$B$11*(1+Hypothèses!$B$3)^4</f>
        <v>101483.92169759149</v>
      </c>
      <c r="G10" s="7">
        <f>Hypothèses!$B$11*(1+Hypothèses!$B$3)^5</f>
        <v>104528.43934851923</v>
      </c>
    </row>
    <row r="11" spans="1:7" x14ac:dyDescent="0.3">
      <c r="A11" t="s">
        <v>182</v>
      </c>
      <c r="B11" s="7">
        <f>Hypothèses!$B$8</f>
        <v>100000</v>
      </c>
      <c r="C11" s="7">
        <f>SUM(C3:C9)*Hypothèses!$C$28</f>
        <v>182664.69020800001</v>
      </c>
      <c r="D11" s="7">
        <f>SUM(D3:D9)*Hypothèses!$D$28</f>
        <v>432176.61898747843</v>
      </c>
      <c r="E11" s="7">
        <f>SUM(E3:E9)*Hypothèses!$E$28</f>
        <v>620436.74394737254</v>
      </c>
      <c r="F11" s="7">
        <f>SUM(F3:F9)*Hypothèses!$F$28</f>
        <v>706110.28935390257</v>
      </c>
      <c r="G11" s="7">
        <f>SUM(G3:G9)*Hypothèses!$G$28</f>
        <v>784735.36006431689</v>
      </c>
    </row>
    <row r="12" spans="1:7" x14ac:dyDescent="0.3">
      <c r="A12" t="s">
        <v>183</v>
      </c>
      <c r="B12" s="7">
        <f>Hypothèses!$B$29*(1+Hypothèses!$B$3)^MAX(0-2,0)</f>
        <v>0</v>
      </c>
      <c r="C12" s="7">
        <f>Hypothèses!$C$29*(1+Hypothèses!$B$3)^MAX(1-2,0)</f>
        <v>0</v>
      </c>
      <c r="D12" s="7">
        <f>Hypothèses!$D$29*(1+Hypothèses!$B$3)^MAX(2-2,0)</f>
        <v>60000</v>
      </c>
      <c r="E12" s="7">
        <f>Hypothèses!$E$29*(1+Hypothèses!$B$3)^MAX(3-2,0)</f>
        <v>123600</v>
      </c>
      <c r="F12" s="7">
        <f>Hypothèses!$F$29*(1+Hypothèses!$B$3)^MAX(4-2,0)</f>
        <v>159135</v>
      </c>
      <c r="G12" s="7">
        <f>Hypothèses!$G$29*(1+Hypothèses!$B$3)^MAX(5-2,0)</f>
        <v>174836.32</v>
      </c>
    </row>
    <row r="13" spans="1:7" x14ac:dyDescent="0.3">
      <c r="A13" t="s">
        <v>63</v>
      </c>
      <c r="B13" s="7">
        <f>Hypothèses!$B$30</f>
        <v>96700</v>
      </c>
      <c r="C13" s="7">
        <f>Hypothèses!$C$30</f>
        <v>105000</v>
      </c>
      <c r="D13" s="7">
        <f>Hypothèses!$D$30</f>
        <v>125000</v>
      </c>
      <c r="E13" s="7">
        <f>Hypothèses!$E$30</f>
        <v>140000</v>
      </c>
      <c r="F13" s="7">
        <f>Hypothèses!$F$30</f>
        <v>148000</v>
      </c>
      <c r="G13" s="7">
        <f>Hypothèses!$G$30</f>
        <v>155000</v>
      </c>
    </row>
    <row r="14" spans="1:7" x14ac:dyDescent="0.3">
      <c r="A14" s="2" t="s">
        <v>184</v>
      </c>
      <c r="B14" s="7">
        <f>SUM(B3:B13)*Hypothèses!$B$87</f>
        <v>1805208.75</v>
      </c>
      <c r="C14" s="7">
        <f>SUM(C3:C13)*Hypothèses!$B$87</f>
        <v>2663845.4823080003</v>
      </c>
      <c r="D14" s="7">
        <f>SUM(D3:D13)*Hypothèses!$B$87</f>
        <v>3799810.7983330386</v>
      </c>
      <c r="E14" s="7">
        <f>SUM(E3:E13)*Hypothèses!$B$87</f>
        <v>4429435.6229730472</v>
      </c>
      <c r="F14" s="7">
        <f>SUM(F3:F13)*Hypothèses!$B$87</f>
        <v>4831099.1550194025</v>
      </c>
      <c r="G14" s="7">
        <f>SUM(G3:G13)*Hypothèses!$B$87</f>
        <v>5142776.9197344203</v>
      </c>
    </row>
    <row r="16" spans="1:7" x14ac:dyDescent="0.3">
      <c r="A16" s="2" t="s">
        <v>91</v>
      </c>
    </row>
    <row r="17" spans="1:7" x14ac:dyDescent="0.3">
      <c r="A17" t="s">
        <v>185</v>
      </c>
      <c r="B17" s="7">
        <f>(B11*Hypothèses!$B$52+B13*Hypothèses!$B$53)*Hypothèses!$B$87</f>
        <v>52340</v>
      </c>
      <c r="C17" s="7">
        <f>(C11*Hypothèses!$B$52+C13*Hypothèses!$B$53)*Hypothèses!$B$87</f>
        <v>81279.34776864</v>
      </c>
      <c r="D17" s="7">
        <f>(D11*Hypothèses!$B$52+D13*Hypothèses!$B$53)*Hypothèses!$B$87</f>
        <v>167618.2842658679</v>
      </c>
      <c r="E17" s="7">
        <f>(E11*Hypothèses!$B$52+E13*Hypothèses!$B$53)*Hypothèses!$B$87</f>
        <v>232744.12550263296</v>
      </c>
      <c r="F17" s="7">
        <f>(F11*Hypothèses!$B$52+F13*Hypothèses!$B$53)*Hypothèses!$B$87</f>
        <v>262616.39548678789</v>
      </c>
      <c r="G17" s="7">
        <f>(G11*Hypothèses!$B$52+G13*Hypothèses!$B$53)*Hypothèses!$B$87</f>
        <v>289962.66882122459</v>
      </c>
    </row>
    <row r="18" spans="1:7" x14ac:dyDescent="0.3">
      <c r="A18" t="s">
        <v>186</v>
      </c>
      <c r="B18" s="7">
        <f>B12*Hypothèses!$B$54*Hypothèses!$B$87</f>
        <v>0</v>
      </c>
      <c r="C18" s="7">
        <f>C12*Hypothèses!$B$54*Hypothèses!$B$87</f>
        <v>0</v>
      </c>
      <c r="D18" s="7">
        <f>D12*Hypothèses!$B$54*Hypothèses!$B$87</f>
        <v>33000</v>
      </c>
      <c r="E18" s="7">
        <f>E12*Hypothèses!$B$54*Hypothèses!$B$87</f>
        <v>67980</v>
      </c>
      <c r="F18" s="7">
        <f>F12*Hypothèses!$B$54*Hypothèses!$B$87</f>
        <v>87524.25</v>
      </c>
      <c r="G18" s="7">
        <f>G12*Hypothèses!$B$54*Hypothèses!$B$87</f>
        <v>96159.97600000001</v>
      </c>
    </row>
    <row r="19" spans="1:7" x14ac:dyDescent="0.3">
      <c r="A19" t="s">
        <v>187</v>
      </c>
      <c r="B19" s="7">
        <f>(B7+B6+B9)*Hypothèses!$B$55*Hypothèses!$B$87</f>
        <v>0</v>
      </c>
      <c r="C19" s="7">
        <f>(C7+C6+C9)*Hypothèses!$B$55*Hypothèses!$B$87</f>
        <v>43800.626999999993</v>
      </c>
      <c r="D19" s="7">
        <f>(D7+D6+D9)*Hypothèses!$B$55*Hypothèses!$B$87</f>
        <v>77884.857185999994</v>
      </c>
      <c r="E19" s="7">
        <f>(E7+E6+E9)*Hypothèses!$B$55*Hypothèses!$B$87</f>
        <v>90028.762460879982</v>
      </c>
      <c r="F19" s="7">
        <f>(F7+F6+F9)*Hypothèses!$B$55*Hypothèses!$B$87</f>
        <v>98406.928019923813</v>
      </c>
      <c r="G19" s="7">
        <f>(G7+G6+G9)*Hypothèses!$B$55*Hypothèses!$B$87</f>
        <v>105244.23875323981</v>
      </c>
    </row>
    <row r="20" spans="1:7" x14ac:dyDescent="0.3">
      <c r="A20" t="s">
        <v>188</v>
      </c>
      <c r="B20" s="7">
        <f>B$14*Hypothèses!$B$31</f>
        <v>704031.41249999998</v>
      </c>
      <c r="C20" s="7">
        <f>C$14*Hypothèses!$C$31</f>
        <v>958984.37363088003</v>
      </c>
      <c r="D20" s="7">
        <f>D$14*Hypothèses!$D$31</f>
        <v>1291935.6714332332</v>
      </c>
      <c r="E20" s="7">
        <f>E$14*Hypothèses!$E$31</f>
        <v>1417419.3993513752</v>
      </c>
      <c r="F20" s="7">
        <f>F$14*Hypothèses!$F$31</f>
        <v>1497640.7380560148</v>
      </c>
      <c r="G20" s="7">
        <f>G$14*Hypothèses!$G$31</f>
        <v>1542833.0759203259</v>
      </c>
    </row>
    <row r="21" spans="1:7" x14ac:dyDescent="0.3">
      <c r="A21" t="s">
        <v>189</v>
      </c>
      <c r="B21" s="7">
        <f>Hypothèses!$B$32</f>
        <v>242500</v>
      </c>
      <c r="C21" s="7">
        <f>Hypothèses!$C$32</f>
        <v>275000</v>
      </c>
      <c r="D21" s="7">
        <f>Hypothèses!$D$32</f>
        <v>400000</v>
      </c>
      <c r="E21" s="7">
        <f>Hypothèses!$E$32</f>
        <v>420000</v>
      </c>
      <c r="F21" s="7">
        <f>Hypothèses!$F$32</f>
        <v>435000</v>
      </c>
      <c r="G21" s="7">
        <f>Hypothèses!$G$32</f>
        <v>450000</v>
      </c>
    </row>
    <row r="22" spans="1:7" x14ac:dyDescent="0.3">
      <c r="A22" t="s">
        <v>190</v>
      </c>
      <c r="B22" s="7">
        <f>B$14*Hypothèses!$B$56</f>
        <v>144416.70000000001</v>
      </c>
      <c r="C22" s="7">
        <f>C$14*Hypothèses!$B$56</f>
        <v>213107.63858464002</v>
      </c>
      <c r="D22" s="7">
        <f>D$14*Hypothèses!$B$56</f>
        <v>303984.86386664311</v>
      </c>
      <c r="E22" s="7">
        <f>E$14*Hypothèses!$B$56</f>
        <v>354354.84983784379</v>
      </c>
      <c r="F22" s="7">
        <f>F$14*Hypothèses!$B$56</f>
        <v>386487.93240155221</v>
      </c>
      <c r="G22" s="7">
        <f>G$14*Hypothèses!$B$56</f>
        <v>411422.15357875364</v>
      </c>
    </row>
    <row r="23" spans="1:7" x14ac:dyDescent="0.3">
      <c r="A23" t="s">
        <v>191</v>
      </c>
      <c r="B23" s="7">
        <f>Hypothèses!$B$58*(1+Hypothèses!$B$3)^0</f>
        <v>88500</v>
      </c>
      <c r="C23" s="7">
        <f>Hypothèses!$B$58*(1+Hypothèses!$B$3)^1</f>
        <v>91155</v>
      </c>
      <c r="D23" s="7">
        <f>Hypothèses!$B$58*(1+Hypothèses!$B$3)^2</f>
        <v>93889.65</v>
      </c>
      <c r="E23" s="7">
        <f>Hypothèses!$B$58*(1+Hypothèses!$B$3)^3</f>
        <v>96706.339500000002</v>
      </c>
      <c r="F23" s="7">
        <f>Hypothèses!$B$58*(1+Hypothèses!$B$3)^4</f>
        <v>99607.529684999987</v>
      </c>
      <c r="G23" s="7">
        <f>Hypothèses!$B$58*(1+Hypothèses!$B$3)^5</f>
        <v>102595.75557554999</v>
      </c>
    </row>
    <row r="24" spans="1:7" x14ac:dyDescent="0.3">
      <c r="A24" t="s">
        <v>192</v>
      </c>
      <c r="B24" s="7">
        <f>B$14*Hypothèses!$B$35</f>
        <v>54156.262499999997</v>
      </c>
      <c r="C24" s="7">
        <f>C$14*Hypothèses!$C$35</f>
        <v>93234.591880780019</v>
      </c>
      <c r="D24" s="7">
        <f>D$14*Hypothèses!$D$35</f>
        <v>132993.37794165636</v>
      </c>
      <c r="E24" s="7">
        <f>E$14*Hypothèses!$E$35</f>
        <v>132883.06868919142</v>
      </c>
      <c r="F24" s="7">
        <f>F$14*Hypothèses!$F$35</f>
        <v>144932.97465058207</v>
      </c>
      <c r="G24" s="7">
        <f>G$14*Hypothèses!$G$35</f>
        <v>154283.30759203259</v>
      </c>
    </row>
    <row r="25" spans="1:7" x14ac:dyDescent="0.3">
      <c r="A25" t="s">
        <v>69</v>
      </c>
      <c r="B25" s="7">
        <f>Hypothèses!$B$33</f>
        <v>60000</v>
      </c>
      <c r="C25" s="7">
        <f>Hypothèses!$C$33</f>
        <v>95000</v>
      </c>
      <c r="D25" s="7">
        <f>Hypothèses!$D$33</f>
        <v>130000</v>
      </c>
      <c r="E25" s="7">
        <f>Hypothèses!$E$33</f>
        <v>134000</v>
      </c>
      <c r="F25" s="7">
        <f>Hypothèses!$F$33</f>
        <v>138000</v>
      </c>
      <c r="G25" s="7">
        <f>Hypothèses!$G$33</f>
        <v>142000</v>
      </c>
    </row>
    <row r="26" spans="1:7" x14ac:dyDescent="0.3">
      <c r="A26" t="s">
        <v>70</v>
      </c>
      <c r="B26" s="7">
        <f>Hypothèses!$B$34</f>
        <v>54500</v>
      </c>
      <c r="C26" s="7">
        <f>Hypothèses!$C$34</f>
        <v>75000</v>
      </c>
      <c r="D26" s="7">
        <f>Hypothèses!$D$34</f>
        <v>130000</v>
      </c>
      <c r="E26" s="7">
        <f>Hypothèses!$E$34</f>
        <v>133000</v>
      </c>
      <c r="F26" s="7">
        <f>Hypothèses!$F$34</f>
        <v>136000</v>
      </c>
      <c r="G26" s="7">
        <f>Hypothèses!$G$34</f>
        <v>139000</v>
      </c>
    </row>
    <row r="27" spans="1:7" x14ac:dyDescent="0.3">
      <c r="A27" t="s">
        <v>193</v>
      </c>
      <c r="B27" s="7">
        <f>Hypothèses!$B$59*(1+Hypothèses!$B$3)^0</f>
        <v>25000</v>
      </c>
      <c r="C27" s="7">
        <f>Hypothèses!$B$59*(1+Hypothèses!$B$3)^1</f>
        <v>25750</v>
      </c>
      <c r="D27" s="7">
        <f>Hypothèses!$B$59*(1+Hypothèses!$B$3)^2</f>
        <v>26522.5</v>
      </c>
      <c r="E27" s="7">
        <f>Hypothèses!$B$59*(1+Hypothèses!$B$3)^3</f>
        <v>27318.174999999999</v>
      </c>
      <c r="F27" s="7">
        <f>Hypothèses!$B$59*(1+Hypothèses!$B$3)^4</f>
        <v>28137.720249999998</v>
      </c>
      <c r="G27" s="7">
        <f>Hypothèses!$B$59*(1+Hypothèses!$B$3)^5</f>
        <v>28981.851857499994</v>
      </c>
    </row>
    <row r="28" spans="1:7" x14ac:dyDescent="0.3">
      <c r="A28" t="s">
        <v>194</v>
      </c>
      <c r="B28" s="7">
        <f>B$14*Hypothèses!$B$60</f>
        <v>36104.175000000003</v>
      </c>
      <c r="C28" s="7">
        <f>C$14*Hypothèses!$B$60</f>
        <v>53276.909646160006</v>
      </c>
      <c r="D28" s="7">
        <f>D$14*Hypothèses!$B$60</f>
        <v>75996.215966660777</v>
      </c>
      <c r="E28" s="7">
        <f>E$14*Hypothèses!$B$60</f>
        <v>88588.712459460949</v>
      </c>
      <c r="F28" s="7">
        <f>F$14*Hypothèses!$B$60</f>
        <v>96621.983100388054</v>
      </c>
      <c r="G28" s="7">
        <f>G$14*Hypothèses!$B$60</f>
        <v>102855.53839468841</v>
      </c>
    </row>
    <row r="29" spans="1:7" x14ac:dyDescent="0.3">
      <c r="A29" t="s">
        <v>195</v>
      </c>
      <c r="B29" s="7">
        <f>B$14*Hypothèses!$B$61</f>
        <v>27078.131249999999</v>
      </c>
      <c r="C29" s="7">
        <f>C$14*Hypothèses!$B$61</f>
        <v>39957.682234620006</v>
      </c>
      <c r="D29" s="7">
        <f>D$14*Hypothèses!$B$61</f>
        <v>56997.161974995579</v>
      </c>
      <c r="E29" s="7">
        <f>E$14*Hypothèses!$B$61</f>
        <v>66441.534344595711</v>
      </c>
      <c r="F29" s="7">
        <f>F$14*Hypothèses!$B$61</f>
        <v>72466.487325291033</v>
      </c>
      <c r="G29" s="7">
        <f>G$14*Hypothèses!$B$61</f>
        <v>77141.653796016297</v>
      </c>
    </row>
    <row r="30" spans="1:7" x14ac:dyDescent="0.3">
      <c r="A30" t="s">
        <v>196</v>
      </c>
      <c r="B30" s="7">
        <f>B$14*Hypothèses!$B$62</f>
        <v>45130.21875</v>
      </c>
      <c r="C30" s="7">
        <f>C$14*Hypothèses!$B$62</f>
        <v>66596.137057700005</v>
      </c>
      <c r="D30" s="7">
        <f>D$14*Hypothèses!$B$62</f>
        <v>94995.269958325967</v>
      </c>
      <c r="E30" s="7">
        <f>E$14*Hypothèses!$B$62</f>
        <v>110735.89057432619</v>
      </c>
      <c r="F30" s="7">
        <f>F$14*Hypothèses!$B$62</f>
        <v>120777.47887548507</v>
      </c>
      <c r="G30" s="7">
        <f>G$14*Hypothèses!$B$62</f>
        <v>128569.42299336051</v>
      </c>
    </row>
    <row r="31" spans="1:7" x14ac:dyDescent="0.3">
      <c r="A31" t="s">
        <v>197</v>
      </c>
      <c r="B31" s="7">
        <f>Hypothèses!$B$63*1.02^0</f>
        <v>42000</v>
      </c>
      <c r="C31" s="7">
        <f>Hypothèses!$B$63*1.02^1</f>
        <v>42840</v>
      </c>
      <c r="D31" s="7">
        <f>Hypothèses!$B$63*1.02^2</f>
        <v>43696.800000000003</v>
      </c>
      <c r="E31" s="7">
        <f>Hypothèses!$B$63*1.02^3</f>
        <v>44570.735999999997</v>
      </c>
      <c r="F31" s="7">
        <f>Hypothèses!$B$63*1.02^4</f>
        <v>45462.150719999998</v>
      </c>
      <c r="G31" s="7">
        <f>Hypothèses!$B$63*1.02^5</f>
        <v>46371.393734400001</v>
      </c>
    </row>
    <row r="32" spans="1:7" x14ac:dyDescent="0.3">
      <c r="A32" t="s">
        <v>198</v>
      </c>
      <c r="B32" s="7">
        <f>B$14*Hypothèses!$B$64</f>
        <v>36104.175000000003</v>
      </c>
      <c r="C32" s="7">
        <f>C$14*Hypothèses!$B$64</f>
        <v>53276.909646160006</v>
      </c>
      <c r="D32" s="7">
        <f>D$14*Hypothèses!$B$64</f>
        <v>75996.215966660777</v>
      </c>
      <c r="E32" s="7">
        <f>E$14*Hypothèses!$B$64</f>
        <v>88588.712459460949</v>
      </c>
      <c r="F32" s="7">
        <f>F$14*Hypothèses!$B$64</f>
        <v>96621.983100388054</v>
      </c>
      <c r="G32" s="7">
        <f>G$14*Hypothèses!$B$64</f>
        <v>102855.53839468841</v>
      </c>
    </row>
    <row r="33" spans="1:7" x14ac:dyDescent="0.3">
      <c r="A33" s="2" t="s">
        <v>199</v>
      </c>
      <c r="B33" s="7">
        <f t="shared" ref="B33:G33" si="0">SUM(B17:B32)</f>
        <v>1611861.0750000002</v>
      </c>
      <c r="C33" s="7">
        <f t="shared" si="0"/>
        <v>2208259.2174495799</v>
      </c>
      <c r="D33" s="7">
        <f t="shared" si="0"/>
        <v>3135510.8685600436</v>
      </c>
      <c r="E33" s="7">
        <f t="shared" si="0"/>
        <v>3505360.306179767</v>
      </c>
      <c r="F33" s="7">
        <f t="shared" si="0"/>
        <v>3746304.5516714128</v>
      </c>
      <c r="G33" s="7">
        <f t="shared" si="0"/>
        <v>3920276.5754117803</v>
      </c>
    </row>
    <row r="35" spans="1:7" x14ac:dyDescent="0.3">
      <c r="A35" s="2" t="s">
        <v>200</v>
      </c>
      <c r="B35" s="7">
        <f t="shared" ref="B35:G35" si="1">B14-B33</f>
        <v>193347.67499999981</v>
      </c>
      <c r="C35" s="7">
        <f t="shared" si="1"/>
        <v>455586.26485842047</v>
      </c>
      <c r="D35" s="7">
        <f t="shared" si="1"/>
        <v>664299.92977299495</v>
      </c>
      <c r="E35" s="7">
        <f t="shared" si="1"/>
        <v>924075.31679328019</v>
      </c>
      <c r="F35" s="7">
        <f t="shared" si="1"/>
        <v>1084794.6033479897</v>
      </c>
      <c r="G35" s="7">
        <f t="shared" si="1"/>
        <v>1222500.34432264</v>
      </c>
    </row>
    <row r="36" spans="1:7" x14ac:dyDescent="0.3">
      <c r="A36" t="s">
        <v>201</v>
      </c>
      <c r="B36" s="8">
        <f t="shared" ref="B36:G36" si="2">B35/B14</f>
        <v>0.10710543863694424</v>
      </c>
      <c r="C36" s="8">
        <f t="shared" si="2"/>
        <v>0.1710257850480475</v>
      </c>
      <c r="D36" s="8">
        <f t="shared" si="2"/>
        <v>0.17482447548820604</v>
      </c>
      <c r="E36" s="8">
        <f t="shared" si="2"/>
        <v>0.20862145777683494</v>
      </c>
      <c r="F36" s="8">
        <f t="shared" si="2"/>
        <v>0.22454405685731221</v>
      </c>
      <c r="G36" s="8">
        <f t="shared" si="2"/>
        <v>0.23771210834199891</v>
      </c>
    </row>
    <row r="37" spans="1:7" x14ac:dyDescent="0.3">
      <c r="A37" t="s">
        <v>202</v>
      </c>
      <c r="B37" s="7">
        <f>DPA!B$3</f>
        <v>150000</v>
      </c>
      <c r="C37" s="7">
        <f>DPA!C$3</f>
        <v>231757.25</v>
      </c>
      <c r="D37" s="7">
        <f>DPA!D$3</f>
        <v>313514.5</v>
      </c>
      <c r="E37" s="7">
        <f>DPA!E$3</f>
        <v>313514.5</v>
      </c>
      <c r="F37" s="7">
        <f>DPA!F$3</f>
        <v>313514.5</v>
      </c>
      <c r="G37" s="7">
        <f>DPA!G$3</f>
        <v>313514.5</v>
      </c>
    </row>
    <row r="38" spans="1:7" x14ac:dyDescent="0.3">
      <c r="A38" t="s">
        <v>203</v>
      </c>
      <c r="B38" s="7">
        <f>Investissement!B10*Hypothèses!$B$68</f>
        <v>300000</v>
      </c>
      <c r="C38" s="7">
        <f>Dette!$B$65+Dette!$B$135+Dette!$B$205+Dette!$B$275+Dette!$B$345</f>
        <v>470750</v>
      </c>
      <c r="D38" s="7">
        <f>Dette!$B$66+Dette!$B$136+Dette!$B$206+Dette!$B$276+Dette!$B$346</f>
        <v>467600.89293481607</v>
      </c>
      <c r="E38" s="7">
        <f>Dette!$B$67+Dette!$B$137+Dette!$B$207+Dette!$B$277+Dette!$B$347</f>
        <v>459663.26925168629</v>
      </c>
      <c r="F38" s="7">
        <f>Dette!$B$68+Dette!$B$138+Dette!$B$208+Dette!$B$278+Dette!$B$348</f>
        <v>446998.17153194372</v>
      </c>
      <c r="G38" s="7">
        <f>Dette!$B$69+Dette!$B$139+Dette!$B$209+Dette!$B$279+Dette!$B$349</f>
        <v>429413.96068343607</v>
      </c>
    </row>
    <row r="39" spans="1:7" x14ac:dyDescent="0.3">
      <c r="A39" t="s">
        <v>204</v>
      </c>
      <c r="B39" s="7">
        <f t="shared" ref="B39:G39" si="3">B35-B37-B38</f>
        <v>-256652.32500000019</v>
      </c>
      <c r="C39" s="7">
        <f t="shared" si="3"/>
        <v>-246920.98514157953</v>
      </c>
      <c r="D39" s="7">
        <f t="shared" si="3"/>
        <v>-116815.46316182113</v>
      </c>
      <c r="E39" s="7">
        <f t="shared" si="3"/>
        <v>150897.5475415939</v>
      </c>
      <c r="F39" s="7">
        <f t="shared" si="3"/>
        <v>324281.93181604601</v>
      </c>
      <c r="G39" s="7">
        <f t="shared" si="3"/>
        <v>479571.88363920391</v>
      </c>
    </row>
    <row r="40" spans="1:7" x14ac:dyDescent="0.3">
      <c r="A40" t="s">
        <v>205</v>
      </c>
      <c r="B40" s="7">
        <f>IF(B39&lt;=0,0,MIN(B39,500000)*Hypothèses!$B$66+MAX(B39-500000,0)*Hypothèses!$B$67)</f>
        <v>0</v>
      </c>
      <c r="C40" s="7">
        <f>IF(C39&lt;=0,0,MIN(C39,500000)*Hypothèses!$B$66+MAX(C39-500000,0)*Hypothèses!$B$67)</f>
        <v>0</v>
      </c>
      <c r="D40" s="7">
        <f>IF(D39&lt;=0,0,MIN(D39,500000)*Hypothèses!$B$66+MAX(D39-500000,0)*Hypothèses!$B$67)</f>
        <v>0</v>
      </c>
      <c r="E40" s="7">
        <f>IF(E39&lt;=0,0,MIN(E39,500000)*Hypothèses!$B$66+MAX(E39-500000,0)*Hypothèses!$B$67)</f>
        <v>18409.500800074456</v>
      </c>
      <c r="F40" s="7">
        <f>IF(F39&lt;=0,0,MIN(F39,500000)*Hypothèses!$B$66+MAX(F39-500000,0)*Hypothèses!$B$67)</f>
        <v>39562.395681557609</v>
      </c>
      <c r="G40" s="7">
        <f>IF(G39&lt;=0,0,MIN(G39,500000)*Hypothèses!$B$66+MAX(G39-500000,0)*Hypothèses!$B$67)</f>
        <v>58507.769803982876</v>
      </c>
    </row>
    <row r="41" spans="1:7" x14ac:dyDescent="0.3">
      <c r="A41" s="2" t="s">
        <v>206</v>
      </c>
      <c r="B41" s="7">
        <f t="shared" ref="B41:G41" si="4">B39-B40</f>
        <v>-256652.32500000019</v>
      </c>
      <c r="C41" s="7">
        <f t="shared" si="4"/>
        <v>-246920.98514157953</v>
      </c>
      <c r="D41" s="7">
        <f t="shared" si="4"/>
        <v>-116815.46316182113</v>
      </c>
      <c r="E41" s="7">
        <f t="shared" si="4"/>
        <v>132488.04674151944</v>
      </c>
      <c r="F41" s="7">
        <f t="shared" si="4"/>
        <v>284719.53613448841</v>
      </c>
      <c r="G41" s="7">
        <f t="shared" si="4"/>
        <v>421064.11383522104</v>
      </c>
    </row>
    <row r="43" spans="1:7" x14ac:dyDescent="0.3">
      <c r="A43" t="s">
        <v>207</v>
      </c>
      <c r="B43" s="7">
        <f>B38</f>
        <v>300000</v>
      </c>
      <c r="C43" s="7">
        <f>Dette!$D$65</f>
        <v>385000</v>
      </c>
      <c r="D43" s="7">
        <f>Dette!$D$66</f>
        <v>466474.27020156046</v>
      </c>
      <c r="E43" s="7">
        <f>Dette!$D$67</f>
        <v>466474.27020156058</v>
      </c>
      <c r="F43" s="7">
        <f>Dette!$D$68</f>
        <v>466474.27020156052</v>
      </c>
      <c r="G43" s="7">
        <f>Dette!$D$69</f>
        <v>466474.27020156058</v>
      </c>
    </row>
    <row r="44" spans="1:7" x14ac:dyDescent="0.3">
      <c r="A44" t="s">
        <v>208</v>
      </c>
      <c r="B44" s="7">
        <f>B38</f>
        <v>300000</v>
      </c>
      <c r="C44" s="7">
        <f>Dette!$D$65+Dette!$D$135+Dette!$D$205+Dette!$D$275+Dette!$D$345</f>
        <v>470750</v>
      </c>
      <c r="D44" s="7">
        <f>Dette!$D$66+Dette!$D$136+Dette!$D$206+Dette!$D$276+Dette!$D$346</f>
        <v>569519.66827236593</v>
      </c>
      <c r="E44" s="7">
        <f>Dette!$D$67+Dette!$D$137+Dette!$D$207+Dette!$D$277+Dette!$D$347</f>
        <v>673592.37839064177</v>
      </c>
      <c r="F44" s="7">
        <f>Dette!$D$68+Dette!$D$138+Dette!$D$208+Dette!$D$278+Dette!$D$348</f>
        <v>750894.08273098862</v>
      </c>
      <c r="G44" s="7">
        <f>Dette!$D$69+Dette!$D$139+Dette!$D$209+Dette!$D$279+Dette!$D$349</f>
        <v>750894.08273098874</v>
      </c>
    </row>
    <row r="45" spans="1:7" x14ac:dyDescent="0.3">
      <c r="A45" t="s">
        <v>209</v>
      </c>
      <c r="B45" s="7">
        <v>0</v>
      </c>
      <c r="C45" s="7">
        <f>Dette!$C$65+Dette!$C$135+Dette!$C$205+Dette!$C$275+Dette!$C$345</f>
        <v>0</v>
      </c>
      <c r="D45" s="7">
        <f>Dette!$C$66+Dette!$C$136+Dette!$C$206+Dette!$C$276+Dette!$C$346</f>
        <v>101918.77533754983</v>
      </c>
      <c r="E45" s="7">
        <f>Dette!$C$67+Dette!$C$137+Dette!$C$207+Dette!$C$277+Dette!$C$347</f>
        <v>213929.10913895542</v>
      </c>
      <c r="F45" s="7">
        <f>Dette!$C$68+Dette!$C$138+Dette!$C$208+Dette!$C$278+Dette!$C$348</f>
        <v>303895.9111990449</v>
      </c>
      <c r="G45" s="7">
        <f>Dette!$C$69+Dette!$C$139+Dette!$C$209+Dette!$C$279+Dette!$C$349</f>
        <v>321480.12204755261</v>
      </c>
    </row>
    <row r="46" spans="1:7" x14ac:dyDescent="0.3">
      <c r="A46" t="s">
        <v>210</v>
      </c>
      <c r="B46" s="7">
        <v>0</v>
      </c>
      <c r="C46" s="7">
        <f>C$14*Hypothèses!$B$57</f>
        <v>53276.909646160006</v>
      </c>
      <c r="D46" s="7">
        <f>D$14*Hypothèses!$B$57</f>
        <v>75996.215966660777</v>
      </c>
      <c r="E46" s="7">
        <f>E$14*Hypothèses!$B$57</f>
        <v>88588.712459460949</v>
      </c>
      <c r="F46" s="7">
        <f>F$14*Hypothèses!$B$57</f>
        <v>96621.983100388054</v>
      </c>
      <c r="G46" s="7">
        <f>G$14*Hypothèses!$B$57</f>
        <v>102855.53839468841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2" customWidth="1"/>
    <col min="2" max="7" width="15" customWidth="1"/>
  </cols>
  <sheetData>
    <row r="1" spans="1:7" x14ac:dyDescent="0.3">
      <c r="A1" s="1" t="s">
        <v>211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">
      <c r="A2" t="s">
        <v>206</v>
      </c>
      <c r="B2" s="7">
        <f>Résultats!B41</f>
        <v>-256652.32500000019</v>
      </c>
      <c r="C2" s="7">
        <f>Résultats!C41</f>
        <v>-246920.98514157953</v>
      </c>
      <c r="D2" s="7">
        <f>Résultats!D41</f>
        <v>-116815.46316182113</v>
      </c>
      <c r="E2" s="7">
        <f>Résultats!E41</f>
        <v>132488.04674151944</v>
      </c>
      <c r="F2" s="7">
        <f>Résultats!F41</f>
        <v>284719.53613448841</v>
      </c>
      <c r="G2" s="7">
        <f>Résultats!G41</f>
        <v>421064.11383522104</v>
      </c>
    </row>
    <row r="3" spans="1:7" x14ac:dyDescent="0.3">
      <c r="A3" t="s">
        <v>212</v>
      </c>
      <c r="B3" s="7">
        <f>Résultats!B37</f>
        <v>150000</v>
      </c>
      <c r="C3" s="7">
        <f>Résultats!C37</f>
        <v>231757.25</v>
      </c>
      <c r="D3" s="7">
        <f>Résultats!D37</f>
        <v>313514.5</v>
      </c>
      <c r="E3" s="7">
        <f>Résultats!E37</f>
        <v>313514.5</v>
      </c>
      <c r="F3" s="7">
        <f>Résultats!F37</f>
        <v>313514.5</v>
      </c>
      <c r="G3" s="7">
        <f>Résultats!G37</f>
        <v>313514.5</v>
      </c>
    </row>
    <row r="4" spans="1:7" x14ac:dyDescent="0.3">
      <c r="A4" s="2" t="s">
        <v>213</v>
      </c>
      <c r="B4" s="7">
        <f t="shared" ref="B4:G4" si="0">B2+B3</f>
        <v>-106652.32500000019</v>
      </c>
      <c r="C4" s="7">
        <f t="shared" si="0"/>
        <v>-15163.735141579527</v>
      </c>
      <c r="D4" s="7">
        <f t="shared" si="0"/>
        <v>196699.03683817887</v>
      </c>
      <c r="E4" s="7">
        <f t="shared" si="0"/>
        <v>446002.54674151947</v>
      </c>
      <c r="F4" s="7">
        <f t="shared" si="0"/>
        <v>598234.03613448841</v>
      </c>
      <c r="G4" s="7">
        <f t="shared" si="0"/>
        <v>734578.61383522104</v>
      </c>
    </row>
    <row r="5" spans="1:7" x14ac:dyDescent="0.3">
      <c r="A5" t="s">
        <v>214</v>
      </c>
      <c r="B5" s="7">
        <f>-Résultats!B45</f>
        <v>0</v>
      </c>
      <c r="C5" s="7">
        <f>-Résultats!C45</f>
        <v>0</v>
      </c>
      <c r="D5" s="7">
        <f>-Résultats!D45</f>
        <v>-101918.77533754983</v>
      </c>
      <c r="E5" s="7">
        <f>-Résultats!E45</f>
        <v>-213929.10913895542</v>
      </c>
      <c r="F5" s="7">
        <f>-Résultats!F45</f>
        <v>-303895.9111990449</v>
      </c>
      <c r="G5" s="7">
        <f>-Résultats!G45</f>
        <v>-321480.12204755261</v>
      </c>
    </row>
    <row r="6" spans="1:7" x14ac:dyDescent="0.3">
      <c r="A6" t="s">
        <v>215</v>
      </c>
      <c r="B6" s="7">
        <f>-Résultats!B46</f>
        <v>0</v>
      </c>
      <c r="C6" s="7">
        <f>-Résultats!C46</f>
        <v>-53276.909646160006</v>
      </c>
      <c r="D6" s="7">
        <f>-Résultats!D46</f>
        <v>-75996.215966660777</v>
      </c>
      <c r="E6" s="7">
        <f>-Résultats!E46</f>
        <v>-88588.712459460949</v>
      </c>
      <c r="F6" s="7">
        <f>-Résultats!F46</f>
        <v>-96621.983100388054</v>
      </c>
      <c r="G6" s="7">
        <f>-Résultats!G46</f>
        <v>-102855.53839468841</v>
      </c>
    </row>
    <row r="7" spans="1:7" x14ac:dyDescent="0.3">
      <c r="A7" s="2" t="s">
        <v>216</v>
      </c>
      <c r="B7" s="7">
        <f t="shared" ref="B7:G7" si="1">B4+B5+B6</f>
        <v>-106652.32500000019</v>
      </c>
      <c r="C7" s="7">
        <f t="shared" si="1"/>
        <v>-68440.644787739526</v>
      </c>
      <c r="D7" s="7">
        <f t="shared" si="1"/>
        <v>18784.045533968267</v>
      </c>
      <c r="E7" s="7">
        <f t="shared" si="1"/>
        <v>143484.7251431031</v>
      </c>
      <c r="F7" s="7">
        <f t="shared" si="1"/>
        <v>197716.14183505546</v>
      </c>
      <c r="G7" s="7">
        <f t="shared" si="1"/>
        <v>310242.95339298004</v>
      </c>
    </row>
    <row r="8" spans="1:7" x14ac:dyDescent="0.3">
      <c r="A8" s="2" t="s">
        <v>217</v>
      </c>
      <c r="B8" s="7">
        <f>0</f>
        <v>0</v>
      </c>
      <c r="C8" s="7">
        <f>B8+C7</f>
        <v>-68440.644787739526</v>
      </c>
      <c r="D8" s="7">
        <f>C8+D7</f>
        <v>-49656.599253771259</v>
      </c>
      <c r="E8" s="7">
        <f>D8+E7</f>
        <v>93828.125889331845</v>
      </c>
      <c r="F8" s="7">
        <f>E8+F7</f>
        <v>291544.26772438729</v>
      </c>
      <c r="G8" s="7">
        <f>F8+G7</f>
        <v>601787.22111736727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70" customWidth="1"/>
    <col min="2" max="7" width="15" customWidth="1"/>
  </cols>
  <sheetData>
    <row r="1" spans="1:8" x14ac:dyDescent="0.3">
      <c r="A1" s="1" t="s">
        <v>218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8" x14ac:dyDescent="0.3">
      <c r="A2" t="s">
        <v>219</v>
      </c>
      <c r="B2" s="7">
        <f>Investissement!B2+Investissement!B3+Investissement!B4</f>
        <v>3270290</v>
      </c>
    </row>
    <row r="3" spans="1:8" x14ac:dyDescent="0.3">
      <c r="A3" s="2" t="s">
        <v>220</v>
      </c>
      <c r="B3" s="7">
        <f t="shared" ref="B3:G3" si="0">B4+B5</f>
        <v>150000</v>
      </c>
      <c r="C3" s="7">
        <f t="shared" si="0"/>
        <v>231757.25</v>
      </c>
      <c r="D3" s="7">
        <f t="shared" si="0"/>
        <v>313514.5</v>
      </c>
      <c r="E3" s="7">
        <f t="shared" si="0"/>
        <v>313514.5</v>
      </c>
      <c r="F3" s="7">
        <f t="shared" si="0"/>
        <v>313514.5</v>
      </c>
      <c r="G3" s="7">
        <f t="shared" si="0"/>
        <v>313514.5</v>
      </c>
    </row>
    <row r="4" spans="1:8" x14ac:dyDescent="0.3">
      <c r="A4" t="s">
        <v>221</v>
      </c>
      <c r="B4" s="7">
        <f>Hypothèses!$B$65</f>
        <v>150000</v>
      </c>
      <c r="C4" s="7">
        <f>Hypothèses!$B$65</f>
        <v>150000</v>
      </c>
      <c r="D4" s="7">
        <f>Hypothèses!$B$65</f>
        <v>150000</v>
      </c>
      <c r="E4" s="7">
        <f>Hypothèses!$B$65</f>
        <v>150000</v>
      </c>
      <c r="F4" s="7">
        <f>Hypothèses!$B$65</f>
        <v>150000</v>
      </c>
      <c r="G4" s="7">
        <f>Hypothèses!$B$65</f>
        <v>150000</v>
      </c>
    </row>
    <row r="5" spans="1:8" x14ac:dyDescent="0.3">
      <c r="A5" t="s">
        <v>222</v>
      </c>
      <c r="B5" s="7">
        <f>0</f>
        <v>0</v>
      </c>
      <c r="C5" s="7">
        <f>$B$2*0.05*0.5</f>
        <v>81757.25</v>
      </c>
      <c r="D5" s="7">
        <f>$B$2*0.05</f>
        <v>163514.5</v>
      </c>
      <c r="E5" s="7">
        <f>$B$2*0.05</f>
        <v>163514.5</v>
      </c>
      <c r="F5" s="7">
        <f>$B$2*0.05</f>
        <v>163514.5</v>
      </c>
      <c r="G5" s="7">
        <f>$B$2*0.05</f>
        <v>163514.5</v>
      </c>
    </row>
    <row r="7" spans="1:8" x14ac:dyDescent="0.3">
      <c r="A7" s="2" t="s">
        <v>223</v>
      </c>
    </row>
    <row r="8" spans="1:8" x14ac:dyDescent="0.3">
      <c r="A8" s="1" t="s">
        <v>224</v>
      </c>
      <c r="B8" s="1" t="s">
        <v>148</v>
      </c>
      <c r="C8" s="1" t="s">
        <v>225</v>
      </c>
      <c r="D8" s="1" t="s">
        <v>226</v>
      </c>
      <c r="E8" s="1" t="s">
        <v>227</v>
      </c>
      <c r="F8" s="1" t="s">
        <v>228</v>
      </c>
      <c r="G8" s="1" t="s">
        <v>229</v>
      </c>
      <c r="H8" s="1" t="s">
        <v>230</v>
      </c>
    </row>
    <row r="9" spans="1:8" x14ac:dyDescent="0.3">
      <c r="A9" t="s">
        <v>231</v>
      </c>
      <c r="B9" s="8">
        <v>0.04</v>
      </c>
      <c r="C9" s="7">
        <v>2058368.4173718439</v>
      </c>
      <c r="D9" s="7">
        <v>41167.368347436881</v>
      </c>
      <c r="E9" s="7">
        <v>80688.04196097629</v>
      </c>
      <c r="F9" s="7">
        <v>77460.52028253724</v>
      </c>
      <c r="G9" s="7">
        <v>74362.09947123575</v>
      </c>
      <c r="H9" s="7">
        <v>71387.615492386321</v>
      </c>
    </row>
    <row r="10" spans="1:8" x14ac:dyDescent="0.3">
      <c r="A10" t="s">
        <v>232</v>
      </c>
      <c r="B10" s="8">
        <v>0.2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</row>
    <row r="11" spans="1:8" x14ac:dyDescent="0.3">
      <c r="A11" t="s">
        <v>233</v>
      </c>
      <c r="B11" s="8">
        <v>0.1</v>
      </c>
      <c r="C11" s="7">
        <v>1154744.6821456051</v>
      </c>
      <c r="D11" s="7">
        <v>57737.234107280237</v>
      </c>
      <c r="E11" s="7">
        <v>109700.74480383249</v>
      </c>
      <c r="F11" s="7">
        <v>98730.670323449202</v>
      </c>
      <c r="G11" s="7">
        <v>88857.603291104286</v>
      </c>
      <c r="H11" s="7">
        <v>79971.842961993854</v>
      </c>
    </row>
    <row r="12" spans="1:8" x14ac:dyDescent="0.3">
      <c r="A12" t="s">
        <v>234</v>
      </c>
      <c r="B12" s="8">
        <v>0.08</v>
      </c>
      <c r="C12" s="7">
        <v>57176.900482551231</v>
      </c>
      <c r="D12" s="7">
        <v>2287.0760193020492</v>
      </c>
      <c r="E12" s="7">
        <v>4391.1859570599336</v>
      </c>
      <c r="F12" s="7">
        <v>4039.8910804951402</v>
      </c>
      <c r="G12" s="7">
        <v>3716.6997940555289</v>
      </c>
      <c r="H12" s="7">
        <v>3419.363810531087</v>
      </c>
    </row>
    <row r="13" spans="1:8" x14ac:dyDescent="0.3">
      <c r="A13" t="s">
        <v>235</v>
      </c>
      <c r="B13" s="8">
        <v>0.2</v>
      </c>
      <c r="C13" s="7">
        <v>125000</v>
      </c>
      <c r="D13" s="7">
        <v>25000</v>
      </c>
      <c r="E13" s="7">
        <v>25000</v>
      </c>
      <c r="F13" s="7">
        <v>25000</v>
      </c>
      <c r="G13" s="7">
        <v>25000</v>
      </c>
      <c r="H13" s="7">
        <v>25000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4" customWidth="1"/>
    <col min="2" max="6" width="15" customWidth="1"/>
  </cols>
  <sheetData>
    <row r="1" spans="1:6" x14ac:dyDescent="0.3">
      <c r="A1" s="1" t="s">
        <v>236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3">
      <c r="A2" t="s">
        <v>237</v>
      </c>
      <c r="B2" s="4">
        <v>11915000</v>
      </c>
    </row>
    <row r="3" spans="1:6" x14ac:dyDescent="0.3">
      <c r="A3" t="s">
        <v>238</v>
      </c>
      <c r="B3" s="4">
        <v>3000000</v>
      </c>
    </row>
    <row r="5" spans="1:6" x14ac:dyDescent="0.3">
      <c r="A5" s="2" t="s">
        <v>239</v>
      </c>
    </row>
    <row r="6" spans="1:6" x14ac:dyDescent="0.3">
      <c r="A6" t="s">
        <v>240</v>
      </c>
      <c r="B6" s="7">
        <f>Investissement!B9+Investissement!B7+Flux!C8</f>
        <v>414796.3552122605</v>
      </c>
      <c r="C6" s="7">
        <f>Investissement!B9+Investissement!B7+Flux!D8</f>
        <v>433580.40074622876</v>
      </c>
      <c r="D6" s="7">
        <f>Investissement!B9+Investissement!B7+Flux!E8</f>
        <v>577065.1258893318</v>
      </c>
      <c r="E6" s="7">
        <f>Investissement!B9+Investissement!B7+Flux!F8</f>
        <v>774781.26772438735</v>
      </c>
      <c r="F6" s="7">
        <f>Investissement!B9+Investissement!B7+Flux!G8</f>
        <v>1085024.2211173673</v>
      </c>
    </row>
    <row r="7" spans="1:6" x14ac:dyDescent="0.3">
      <c r="A7" t="s">
        <v>241</v>
      </c>
      <c r="B7" s="7">
        <f>$B$2-$B$3-Hypothèses!$B$65*1</f>
        <v>8765000</v>
      </c>
      <c r="C7" s="7">
        <f>$B$2-$B$3-Hypothèses!$B$65*2</f>
        <v>8615000</v>
      </c>
      <c r="D7" s="7">
        <f>$B$2-$B$3-Hypothèses!$B$65*3</f>
        <v>8465000</v>
      </c>
      <c r="E7" s="7">
        <f>$B$2-$B$3-Hypothèses!$B$65*4</f>
        <v>8315000</v>
      </c>
      <c r="F7" s="7">
        <f>$B$2-$B$3-Hypothèses!$B$65*5</f>
        <v>8165000</v>
      </c>
    </row>
    <row r="8" spans="1:6" x14ac:dyDescent="0.3">
      <c r="A8" t="s">
        <v>242</v>
      </c>
      <c r="B8" s="7">
        <f>DPA!$B$2+SUM(Résultats!$C$46:C$46)-SUM(DPA!$C$5:C$5)</f>
        <v>3241809.65964616</v>
      </c>
      <c r="C8" s="7">
        <f>DPA!$B$2+SUM(Résultats!$C$46:D$46)-SUM(DPA!$C$5:D$5)</f>
        <v>3154291.375612821</v>
      </c>
      <c r="D8" s="7">
        <f>DPA!$B$2+SUM(Résultats!$C$46:E$46)-SUM(DPA!$C$5:E$5)</f>
        <v>3079365.5880722818</v>
      </c>
      <c r="E8" s="7">
        <f>DPA!$B$2+SUM(Résultats!$C$46:F$46)-SUM(DPA!$C$5:F$5)</f>
        <v>3012473.0711726695</v>
      </c>
      <c r="F8" s="7">
        <f>DPA!$B$2+SUM(Résultats!$C$46:G$46)-SUM(DPA!$C$5:G$5)</f>
        <v>2951814.1095673582</v>
      </c>
    </row>
    <row r="9" spans="1:6" x14ac:dyDescent="0.3">
      <c r="A9" t="s">
        <v>243</v>
      </c>
      <c r="B9" s="7">
        <f>(Investissement!B5+Investissement!B6+Investissement!B8)*(1-1/5)</f>
        <v>342000</v>
      </c>
      <c r="C9" s="7">
        <f>(Investissement!B5+Investissement!B6+Investissement!B8)*(1-2/5)</f>
        <v>256500</v>
      </c>
      <c r="D9" s="7">
        <f>(Investissement!B5+Investissement!B6+Investissement!B8)*(1-3/5)</f>
        <v>171000</v>
      </c>
      <c r="E9" s="7">
        <f>(Investissement!B5+Investissement!B6+Investissement!B8)*(1-4/5)</f>
        <v>85499.999999999985</v>
      </c>
      <c r="F9" s="7">
        <f>(Investissement!B5+Investissement!B6+Investissement!B8)*(1-5/5)</f>
        <v>0</v>
      </c>
    </row>
    <row r="10" spans="1:6" x14ac:dyDescent="0.3">
      <c r="A10" s="2" t="s">
        <v>244</v>
      </c>
      <c r="B10" s="7">
        <f>SUM(B6:B9)</f>
        <v>12763606.014858421</v>
      </c>
      <c r="C10" s="7">
        <f>SUM(C6:C9)</f>
        <v>12459371.77635905</v>
      </c>
      <c r="D10" s="7">
        <f>SUM(D6:D9)</f>
        <v>12292430.713961612</v>
      </c>
      <c r="E10" s="7">
        <f>SUM(E6:E9)</f>
        <v>12187754.338897057</v>
      </c>
      <c r="F10" s="7">
        <f>SUM(F6:F9)</f>
        <v>12201838.330684725</v>
      </c>
    </row>
    <row r="11" spans="1:6" x14ac:dyDescent="0.3">
      <c r="A11" t="s">
        <v>245</v>
      </c>
    </row>
    <row r="12" spans="1:6" x14ac:dyDescent="0.3">
      <c r="A12" s="2" t="s">
        <v>246</v>
      </c>
      <c r="B12" s="7">
        <f>Dette!$E$65+Dette!$E$135+Dette!$E$205+Dette!$E$275+Dette!$E$345</f>
        <v>7085000</v>
      </c>
      <c r="C12" s="7">
        <f>Dette!$E$66+Dette!$E$136+Dette!$E$206+Dette!$E$276+Dette!$E$346</f>
        <v>6983081.2246624511</v>
      </c>
      <c r="D12" s="7">
        <f>Dette!$E$67+Dette!$E$137+Dette!$E$207+Dette!$E$277+Dette!$E$347</f>
        <v>6769152.1155234966</v>
      </c>
      <c r="E12" s="7">
        <f>Dette!$E$68+Dette!$E$138+Dette!$E$208+Dette!$E$278+Dette!$E$348</f>
        <v>6465256.2043244513</v>
      </c>
      <c r="F12" s="7">
        <f>Dette!$E$69+Dette!$E$139+Dette!$E$209+Dette!$E$279+Dette!$E$349</f>
        <v>6143776.0822768975</v>
      </c>
    </row>
    <row r="13" spans="1:6" x14ac:dyDescent="0.3">
      <c r="A13" s="2" t="s">
        <v>247</v>
      </c>
    </row>
    <row r="14" spans="1:6" x14ac:dyDescent="0.3">
      <c r="A14" t="s">
        <v>248</v>
      </c>
      <c r="B14" s="7">
        <f>$B$2-$B$3+Investissement!B9+Investissement!B7+(Investissement!B5+Investissement!B6+Investissement!B8)+DPA!$B$2-SUM(Investissement!B14:B18)</f>
        <v>6011027</v>
      </c>
      <c r="C14" s="7">
        <f>$B$2-$B$3+Investissement!B9+Investissement!B7+(Investissement!B5+Investissement!B6+Investissement!B8)+DPA!$B$2-SUM(Investissement!B14:B18)</f>
        <v>6011027</v>
      </c>
      <c r="D14" s="7">
        <f>$B$2-$B$3+Investissement!B9+Investissement!B7+(Investissement!B5+Investissement!B6+Investissement!B8)+DPA!$B$2-SUM(Investissement!B14:B18)</f>
        <v>6011027</v>
      </c>
      <c r="E14" s="7">
        <f>$B$2-$B$3+Investissement!B9+Investissement!B7+(Investissement!B5+Investissement!B6+Investissement!B8)+DPA!$B$2-SUM(Investissement!B14:B18)</f>
        <v>6011027</v>
      </c>
      <c r="F14" s="7">
        <f>$B$2-$B$3+Investissement!B9+Investissement!B7+(Investissement!B5+Investissement!B6+Investissement!B8)+DPA!$B$2-SUM(Investissement!B14:B18)</f>
        <v>6011027</v>
      </c>
    </row>
    <row r="15" spans="1:6" x14ac:dyDescent="0.3">
      <c r="A15" t="s">
        <v>249</v>
      </c>
      <c r="B15" s="7">
        <f>SUM(Résultats!$C$41:C$41)-(Investissement!B5+Investissement!B6+Investissement!B8)*1/5</f>
        <v>-332420.98514157953</v>
      </c>
      <c r="C15" s="7">
        <f>SUM(Résultats!$C$41:D$41)-(Investissement!B5+Investissement!B6+Investissement!B8)*2/5</f>
        <v>-534736.44830340066</v>
      </c>
      <c r="D15" s="7">
        <f>SUM(Résultats!$C$41:E$41)-(Investissement!B5+Investissement!B6+Investissement!B8)*3/5</f>
        <v>-487748.40156188118</v>
      </c>
      <c r="E15" s="7">
        <f>SUM(Résultats!$C$41:F$41)-(Investissement!B5+Investissement!B6+Investissement!B8)*4/5</f>
        <v>-288528.86542739277</v>
      </c>
      <c r="F15" s="7">
        <f>SUM(Résultats!$C$41:G$41)-(Investissement!B5+Investissement!B6+Investissement!B8)*5/5</f>
        <v>47035.248407828272</v>
      </c>
    </row>
    <row r="16" spans="1:6" x14ac:dyDescent="0.3">
      <c r="A16" t="s">
        <v>250</v>
      </c>
      <c r="B16" s="7">
        <f>B14+B15</f>
        <v>5678606.0148584209</v>
      </c>
      <c r="C16" s="7">
        <f>C14+C15</f>
        <v>5476290.5516965995</v>
      </c>
      <c r="D16" s="7">
        <f>D14+D15</f>
        <v>5523278.5984381186</v>
      </c>
      <c r="E16" s="7">
        <f>E14+E15</f>
        <v>5722498.1345726075</v>
      </c>
      <c r="F16" s="7">
        <f>F14+F15</f>
        <v>6058062.2484078286</v>
      </c>
    </row>
    <row r="17" spans="1:6" x14ac:dyDescent="0.3">
      <c r="A17" s="2" t="s">
        <v>251</v>
      </c>
      <c r="B17" s="7">
        <f>B12+B16</f>
        <v>12763606.014858421</v>
      </c>
      <c r="C17" s="7">
        <f>C12+C16</f>
        <v>12459371.776359051</v>
      </c>
      <c r="D17" s="7">
        <f>D12+D16</f>
        <v>12292430.713961616</v>
      </c>
      <c r="E17" s="7">
        <f>E12+E16</f>
        <v>12187754.338897059</v>
      </c>
      <c r="F17" s="7">
        <f>F12+F16</f>
        <v>12201838.330684725</v>
      </c>
    </row>
    <row r="18" spans="1:6" x14ac:dyDescent="0.3">
      <c r="A18" s="2" t="s">
        <v>252</v>
      </c>
      <c r="B18" s="7">
        <f>B10-B17</f>
        <v>0</v>
      </c>
      <c r="C18" s="7">
        <f>C10-C17</f>
        <v>0</v>
      </c>
      <c r="D18" s="7">
        <f>D10-D17</f>
        <v>0</v>
      </c>
      <c r="E18" s="7">
        <f>E10-E17</f>
        <v>0</v>
      </c>
      <c r="F18" s="7">
        <f>F10-F17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4" customWidth="1"/>
    <col min="2" max="6" width="14" customWidth="1"/>
  </cols>
  <sheetData>
    <row r="1" spans="1:6" x14ac:dyDescent="0.3">
      <c r="A1" s="1" t="s">
        <v>253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3">
      <c r="A2" t="s">
        <v>254</v>
      </c>
      <c r="B2" s="9">
        <f>Résultats!C35/Résultats!C43</f>
        <v>1.1833409476842089</v>
      </c>
      <c r="C2" s="9">
        <f>Résultats!D35/Résultats!D43</f>
        <v>1.4240869694398264</v>
      </c>
      <c r="D2" s="9">
        <f>Résultats!E35/Résultats!E43</f>
        <v>1.9809781070968675</v>
      </c>
      <c r="E2" s="9">
        <f>Résultats!F35/Résultats!F43</f>
        <v>2.3255186248091606</v>
      </c>
      <c r="F2" s="9">
        <f>Résultats!G35/Résultats!G43</f>
        <v>2.6207240622176338</v>
      </c>
    </row>
    <row r="3" spans="1:6" x14ac:dyDescent="0.3">
      <c r="A3" t="s">
        <v>255</v>
      </c>
      <c r="B3" s="9">
        <f>Résultats!C35/Résultats!C44</f>
        <v>0.96778813565251298</v>
      </c>
      <c r="C3" s="9">
        <f>Résultats!D35/Résultats!D44</f>
        <v>1.1664214017193546</v>
      </c>
      <c r="D3" s="9">
        <f>Résultats!E35/Résultats!E44</f>
        <v>1.3718613013423586</v>
      </c>
      <c r="E3" s="9">
        <f>Résultats!F35/Résultats!F44</f>
        <v>1.4446705977527627</v>
      </c>
      <c r="F3" s="9">
        <f>Résultats!G35/Résultats!G44</f>
        <v>1.6280596324270229</v>
      </c>
    </row>
    <row r="4" spans="1:6" x14ac:dyDescent="0.3">
      <c r="A4" t="s">
        <v>256</v>
      </c>
      <c r="B4" s="9">
        <f>(Résultats!C35-Résultats!C40-Résultats!C46)/Résultats!C44</f>
        <v>0.85461360639885386</v>
      </c>
      <c r="C4" s="9">
        <f>(Résultats!D35-Résultats!D40-Résultats!D46)/Résultats!D44</f>
        <v>1.0329822595784084</v>
      </c>
      <c r="D4" s="9">
        <f>(Résultats!E35-Résultats!E40-Résultats!E46)/Résultats!E44</f>
        <v>1.213014175555132</v>
      </c>
      <c r="E4" s="9">
        <f>(Résultats!F35-Résultats!F40-Résultats!F46)/Résultats!F44</f>
        <v>1.2633076307060049</v>
      </c>
      <c r="F4" s="9">
        <f>(Résultats!G35-Résultats!G40-Résultats!G46)/Résultats!G44</f>
        <v>1.4131647332532329</v>
      </c>
    </row>
    <row r="5" spans="1:6" x14ac:dyDescent="0.3">
      <c r="A5" t="s">
        <v>257</v>
      </c>
      <c r="B5" s="9">
        <f>Résultats!C35/Résultats!C38</f>
        <v>0.96778813565251298</v>
      </c>
      <c r="C5" s="9">
        <f>Résultats!D35/Résultats!D38</f>
        <v>1.4206558195465184</v>
      </c>
      <c r="D5" s="9">
        <f>Résultats!E35/Résultats!E38</f>
        <v>2.0103309935937199</v>
      </c>
      <c r="E5" s="9">
        <f>Résultats!F35/Résultats!F38</f>
        <v>2.4268434916192207</v>
      </c>
      <c r="F5" s="9">
        <f>Résultats!G35/Résultats!G38</f>
        <v>2.8469040512259149</v>
      </c>
    </row>
    <row r="6" spans="1:6" x14ac:dyDescent="0.3">
      <c r="A6" t="s">
        <v>258</v>
      </c>
      <c r="B6" s="10">
        <f>Bilan!B12/Résultats!C35</f>
        <v>15.551390694804548</v>
      </c>
      <c r="C6" s="10">
        <f>Bilan!C12/Résultats!D35</f>
        <v>10.511940332507207</v>
      </c>
      <c r="D6" s="10">
        <f>Bilan!D12/Résultats!E35</f>
        <v>7.3253251033841718</v>
      </c>
      <c r="E6" s="10">
        <f>Bilan!E12/Résultats!F35</f>
        <v>5.9598897195568652</v>
      </c>
      <c r="F6" s="10">
        <f>Bilan!F12/Résultats!G35</f>
        <v>5.0255822919060416</v>
      </c>
    </row>
    <row r="7" spans="1:6" x14ac:dyDescent="0.3">
      <c r="A7" t="s">
        <v>259</v>
      </c>
      <c r="B7" s="9">
        <f>Bilan!B12/Bilan!B16</f>
        <v>1.2476653568607619</v>
      </c>
      <c r="C7" s="9">
        <f>Bilan!C12/Bilan!C16</f>
        <v>1.27514805117472</v>
      </c>
      <c r="D7" s="9">
        <f>Bilan!D12/Bilan!D16</f>
        <v>1.2255677483728031</v>
      </c>
      <c r="E7" s="9">
        <f>Bilan!E12/Bilan!E16</f>
        <v>1.1297961226521775</v>
      </c>
      <c r="F7" s="9">
        <f>Bilan!F12/Bilan!F16</f>
        <v>1.014148721217184</v>
      </c>
    </row>
    <row r="8" spans="1:6" x14ac:dyDescent="0.3">
      <c r="A8" t="s">
        <v>201</v>
      </c>
      <c r="B8" s="8">
        <f>Résultats!C35/Résultats!C14</f>
        <v>0.1710257850480475</v>
      </c>
      <c r="C8" s="8">
        <f>Résultats!D35/Résultats!D14</f>
        <v>0.17482447548820604</v>
      </c>
      <c r="D8" s="8">
        <f>Résultats!E35/Résultats!E14</f>
        <v>0.20862145777683494</v>
      </c>
      <c r="E8" s="8">
        <f>Résultats!F35/Résultats!F14</f>
        <v>0.22454405685731221</v>
      </c>
      <c r="F8" s="8">
        <f>Résultats!G35/Résultats!G14</f>
        <v>0.23771210834199891</v>
      </c>
    </row>
    <row r="9" spans="1:6" x14ac:dyDescent="0.3">
      <c r="A9" t="s">
        <v>260</v>
      </c>
      <c r="B9" s="8">
        <f>Résultats!C41/Résultats!C14</f>
        <v>-9.269343390279644E-2</v>
      </c>
      <c r="C9" s="8">
        <f>Résultats!D41/Résultats!D14</f>
        <v>-3.0742442021867929E-2</v>
      </c>
      <c r="D9" s="8">
        <f>Résultats!E41/Résultats!E14</f>
        <v>2.9910818898546982E-2</v>
      </c>
      <c r="E9" s="8">
        <f>Résultats!F41/Résultats!F14</f>
        <v>5.8934732448757812E-2</v>
      </c>
      <c r="F9" s="8">
        <f>Résultats!G41/Résultats!G14</f>
        <v>8.1874854851173545E-2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70" customWidth="1"/>
    <col min="2" max="6" width="18" customWidth="1"/>
  </cols>
  <sheetData>
    <row r="1" spans="1:6" ht="43.2" x14ac:dyDescent="0.3">
      <c r="A1" s="11" t="s">
        <v>261</v>
      </c>
    </row>
    <row r="3" spans="1:6" ht="28.8" x14ac:dyDescent="0.3">
      <c r="A3" s="1" t="s">
        <v>262</v>
      </c>
      <c r="B3" s="1" t="s">
        <v>263</v>
      </c>
      <c r="C3" s="1" t="s">
        <v>26</v>
      </c>
      <c r="D3" s="1" t="s">
        <v>28</v>
      </c>
      <c r="E3" s="1" t="s">
        <v>264</v>
      </c>
      <c r="F3" s="1" t="s">
        <v>265</v>
      </c>
    </row>
    <row r="4" spans="1:6" x14ac:dyDescent="0.3">
      <c r="A4" t="s">
        <v>266</v>
      </c>
      <c r="B4" s="9">
        <v>1.17</v>
      </c>
      <c r="C4" s="9">
        <v>1.37</v>
      </c>
      <c r="D4" s="9">
        <v>1.63</v>
      </c>
      <c r="E4" s="9">
        <v>1.21</v>
      </c>
      <c r="F4" s="9">
        <v>1.41</v>
      </c>
    </row>
    <row r="5" spans="1:6" x14ac:dyDescent="0.3">
      <c r="A5" t="s">
        <v>267</v>
      </c>
      <c r="B5" s="9">
        <v>0.76</v>
      </c>
      <c r="C5" s="9">
        <v>0.97</v>
      </c>
      <c r="D5" s="9">
        <v>1.21</v>
      </c>
      <c r="E5" s="9">
        <v>0.85</v>
      </c>
      <c r="F5" s="9">
        <v>1.06</v>
      </c>
    </row>
    <row r="6" spans="1:6" x14ac:dyDescent="0.3">
      <c r="A6" t="s">
        <v>268</v>
      </c>
      <c r="B6" s="9">
        <v>0.56000000000000005</v>
      </c>
      <c r="C6" s="9">
        <v>0.77</v>
      </c>
      <c r="D6" s="9">
        <v>1</v>
      </c>
      <c r="E6" s="9">
        <v>0.66</v>
      </c>
      <c r="F6" s="9">
        <v>0.88</v>
      </c>
    </row>
    <row r="7" spans="1:6" x14ac:dyDescent="0.3">
      <c r="A7" t="s">
        <v>269</v>
      </c>
      <c r="B7" s="9">
        <v>0.36</v>
      </c>
      <c r="C7" s="9">
        <v>0.56999999999999995</v>
      </c>
      <c r="D7" s="9">
        <v>0.79</v>
      </c>
      <c r="E7" s="9">
        <v>0.47</v>
      </c>
      <c r="F7" s="9">
        <v>0.68</v>
      </c>
    </row>
    <row r="8" spans="1:6" x14ac:dyDescent="0.3">
      <c r="A8" t="s">
        <v>270</v>
      </c>
      <c r="B8" s="9">
        <v>0.93</v>
      </c>
      <c r="C8" s="9">
        <v>1.1200000000000001</v>
      </c>
      <c r="D8" s="9">
        <v>1.36</v>
      </c>
      <c r="E8" s="9">
        <v>1</v>
      </c>
      <c r="F8" s="9">
        <v>1.18</v>
      </c>
    </row>
    <row r="9" spans="1:6" x14ac:dyDescent="0.3">
      <c r="A9" t="s">
        <v>271</v>
      </c>
      <c r="B9" s="9">
        <v>0.94</v>
      </c>
      <c r="C9" s="9">
        <v>1.0900000000000001</v>
      </c>
      <c r="D9" s="9">
        <v>1.31</v>
      </c>
      <c r="E9" s="9">
        <v>0.97</v>
      </c>
      <c r="F9" s="9">
        <v>1.1399999999999999</v>
      </c>
    </row>
    <row r="10" spans="1:6" x14ac:dyDescent="0.3">
      <c r="A10" t="s">
        <v>272</v>
      </c>
      <c r="B10" s="9">
        <v>1.1499999999999999</v>
      </c>
      <c r="C10" s="9">
        <v>1.29</v>
      </c>
      <c r="D10" s="9">
        <v>1.54</v>
      </c>
      <c r="E10" s="9">
        <v>1.1399999999999999</v>
      </c>
      <c r="F10" s="9">
        <v>1.33</v>
      </c>
    </row>
    <row r="11" spans="1:6" x14ac:dyDescent="0.3">
      <c r="A11" t="s">
        <v>273</v>
      </c>
      <c r="B11" s="9">
        <v>1.06</v>
      </c>
      <c r="C11" s="9">
        <v>1.21</v>
      </c>
      <c r="D11" s="9">
        <v>1.46</v>
      </c>
      <c r="E11" s="9">
        <v>1.07</v>
      </c>
      <c r="F11" s="9">
        <v>1.26</v>
      </c>
    </row>
    <row r="12" spans="1:6" x14ac:dyDescent="0.3">
      <c r="A12" t="s">
        <v>274</v>
      </c>
      <c r="B12" s="9">
        <v>1.2</v>
      </c>
      <c r="C12" s="9">
        <v>1.29</v>
      </c>
      <c r="D12" s="9">
        <v>1.54</v>
      </c>
      <c r="E12" s="9">
        <v>1.1299999999999999</v>
      </c>
      <c r="F12" s="9">
        <v>1.33</v>
      </c>
    </row>
    <row r="14" spans="1:6" x14ac:dyDescent="0.3">
      <c r="A14" t="s">
        <v>275</v>
      </c>
      <c r="B14" s="8">
        <v>0.49785294233069738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Hypothèses</vt:lpstr>
      <vt:lpstr>Investissement</vt:lpstr>
      <vt:lpstr>Dette</vt:lpstr>
      <vt:lpstr>Résultats</vt:lpstr>
      <vt:lpstr>Flux</vt:lpstr>
      <vt:lpstr>DPA</vt:lpstr>
      <vt:lpstr>Bilan</vt:lpstr>
      <vt:lpstr>Ratios</vt:lpstr>
      <vt:lpstr>Sensibilité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Tremblay</cp:lastModifiedBy>
  <dcterms:created xsi:type="dcterms:W3CDTF">2026-09-04T11:59:36Z</dcterms:created>
  <dcterms:modified xsi:type="dcterms:W3CDTF">2026-09-04T12:00:04Z</dcterms:modified>
</cp:coreProperties>
</file>